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sunmobility-my.sharepoint.com/personal/samuel_mwaura_sunmobility_com/Documents/Desktop/Assignments/"/>
    </mc:Choice>
  </mc:AlternateContent>
  <xr:revisionPtr revIDLastSave="217" documentId="8_{1048EF00-8A83-47A2-9B09-AD3AC1810F1D}" xr6:coauthVersionLast="47" xr6:coauthVersionMax="47" xr10:uidLastSave="{B313C5AA-3205-4B6E-809F-B9871547D991}"/>
  <bookViews>
    <workbookView xWindow="-110" yWindow="-110" windowWidth="19420" windowHeight="11500" xr2:uid="{C25B9C10-BA73-46CA-8BE0-228C8E0C61D0}"/>
  </bookViews>
  <sheets>
    <sheet name="Dashboard" sheetId="2" r:id="rId1"/>
    <sheet name="Pivot" sheetId="8" r:id="rId2"/>
    <sheet name="Excel_jumia_dataset" sheetId="1" r:id="rId3"/>
    <sheet name="Bottom_5_Ratings" sheetId="4" r:id="rId4"/>
    <sheet name="Data_Missing_Values" sheetId="3" r:id="rId5"/>
    <sheet name="Top_5_Ratings" sheetId="6" r:id="rId6"/>
    <sheet name="Top_10_Disc_Rating" sheetId="7" r:id="rId7"/>
    <sheet name="Top_10_Reviews" sheetId="9" r:id="rId8"/>
    <sheet name="Bottom_10_Reviews" sheetId="10" r:id="rId9"/>
  </sheets>
  <definedNames>
    <definedName name="_xlnm._FilterDatabase" localSheetId="2" hidden="1">Excel_jumia_dataset!$A$1:$L$60</definedName>
    <definedName name="_xlnm.Print_Area" localSheetId="0">Dashboard!$A$1:$AZ$83</definedName>
    <definedName name="Slicer_Discount_Category">#N/A</definedName>
    <definedName name="Slicer_Product_Category">#N/A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9" l="1"/>
  <c r="J11" i="9"/>
  <c r="I11" i="9"/>
  <c r="G11" i="9"/>
  <c r="K2" i="9"/>
  <c r="J2" i="9"/>
  <c r="I2" i="9"/>
  <c r="G2" i="9"/>
  <c r="K6" i="9"/>
  <c r="J6" i="9"/>
  <c r="I6" i="9"/>
  <c r="G6" i="9"/>
  <c r="K7" i="9"/>
  <c r="J7" i="9"/>
  <c r="I7" i="9"/>
  <c r="G7" i="9"/>
  <c r="K10" i="9"/>
  <c r="J10" i="9"/>
  <c r="I10" i="9"/>
  <c r="G10" i="9"/>
  <c r="K9" i="9"/>
  <c r="J9" i="9"/>
  <c r="I9" i="9"/>
  <c r="G9" i="9"/>
  <c r="K4" i="9"/>
  <c r="J4" i="9"/>
  <c r="I4" i="9"/>
  <c r="G4" i="9"/>
  <c r="K5" i="9"/>
  <c r="J5" i="9"/>
  <c r="I5" i="9"/>
  <c r="G5" i="9"/>
  <c r="K3" i="9"/>
  <c r="J3" i="9"/>
  <c r="I3" i="9"/>
  <c r="G3" i="9"/>
  <c r="K8" i="9"/>
  <c r="J8" i="9"/>
  <c r="I8" i="9"/>
  <c r="G8" i="9"/>
  <c r="K11" i="7" l="1"/>
  <c r="J11" i="7"/>
  <c r="I11" i="7"/>
  <c r="K9" i="7"/>
  <c r="J9" i="7"/>
  <c r="I9" i="7"/>
  <c r="K3" i="7"/>
  <c r="J3" i="7"/>
  <c r="I3" i="7"/>
  <c r="K5" i="7"/>
  <c r="J5" i="7"/>
  <c r="I5" i="7"/>
  <c r="K7" i="7"/>
  <c r="J7" i="7"/>
  <c r="I7" i="7"/>
  <c r="K8" i="7"/>
  <c r="J8" i="7"/>
  <c r="I8" i="7"/>
  <c r="K4" i="7"/>
  <c r="J4" i="7"/>
  <c r="I4" i="7"/>
  <c r="K6" i="7"/>
  <c r="J6" i="7"/>
  <c r="I6" i="7"/>
  <c r="K10" i="7"/>
  <c r="J10" i="7"/>
  <c r="I10" i="7"/>
  <c r="K2" i="7"/>
  <c r="J2" i="7"/>
  <c r="I2" i="7"/>
  <c r="K8" i="6"/>
  <c r="J8" i="6"/>
  <c r="I8" i="6"/>
  <c r="G8" i="6"/>
  <c r="K7" i="6"/>
  <c r="J7" i="6"/>
  <c r="I7" i="6"/>
  <c r="G7" i="6"/>
  <c r="K6" i="6"/>
  <c r="J6" i="6"/>
  <c r="I6" i="6"/>
  <c r="G6" i="6"/>
  <c r="K5" i="6"/>
  <c r="J5" i="6"/>
  <c r="I5" i="6"/>
  <c r="G5" i="6"/>
  <c r="K4" i="6"/>
  <c r="J4" i="6"/>
  <c r="I4" i="6"/>
  <c r="G4" i="6"/>
  <c r="K3" i="6"/>
  <c r="J3" i="6"/>
  <c r="I3" i="6"/>
  <c r="G3" i="6"/>
  <c r="K2" i="6"/>
  <c r="J2" i="6"/>
  <c r="I2" i="6"/>
  <c r="G2" i="6"/>
  <c r="K2" i="4"/>
  <c r="J2" i="4"/>
  <c r="I2" i="4"/>
  <c r="G2" i="4"/>
  <c r="K4" i="4"/>
  <c r="J4" i="4"/>
  <c r="I4" i="4"/>
  <c r="G4" i="4"/>
  <c r="K6" i="4"/>
  <c r="J6" i="4"/>
  <c r="I6" i="4"/>
  <c r="G6" i="4"/>
  <c r="K5" i="4"/>
  <c r="J5" i="4"/>
  <c r="I5" i="4"/>
  <c r="G5" i="4"/>
  <c r="K3" i="4"/>
  <c r="J3" i="4"/>
  <c r="I3" i="4"/>
  <c r="G3" i="4"/>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2" i="1"/>
  <c r="I2" i="3"/>
  <c r="H2" i="3"/>
  <c r="G2" i="3"/>
  <c r="I2" i="1"/>
  <c r="J2" i="1"/>
  <c r="K2" i="1"/>
  <c r="I3" i="1"/>
  <c r="J3" i="1"/>
  <c r="K3" i="1"/>
  <c r="I4" i="1"/>
  <c r="J4" i="1"/>
  <c r="K4" i="1"/>
  <c r="I5" i="1"/>
  <c r="J5" i="1"/>
  <c r="K5" i="1"/>
  <c r="I6" i="1"/>
  <c r="J6" i="1"/>
  <c r="K6" i="1"/>
  <c r="I7" i="1"/>
  <c r="J7" i="1"/>
  <c r="C64" i="1" s="1"/>
  <c r="K7" i="1"/>
  <c r="I8" i="1"/>
  <c r="J8" i="1"/>
  <c r="K8" i="1"/>
  <c r="I9" i="1"/>
  <c r="J9" i="1"/>
  <c r="K9" i="1"/>
  <c r="I10" i="1"/>
  <c r="J10" i="1"/>
  <c r="K10" i="1"/>
  <c r="I11" i="1"/>
  <c r="J11" i="1"/>
  <c r="K11" i="1"/>
  <c r="I12" i="1"/>
  <c r="J12" i="1"/>
  <c r="K12" i="1"/>
  <c r="I13" i="1"/>
  <c r="J13" i="1"/>
  <c r="K13" i="1"/>
  <c r="I14" i="1"/>
  <c r="J14" i="1"/>
  <c r="K14" i="1"/>
  <c r="I15" i="1"/>
  <c r="J15" i="1"/>
  <c r="K15" i="1"/>
  <c r="I16" i="1"/>
  <c r="J16" i="1"/>
  <c r="K16" i="1"/>
  <c r="I17" i="1"/>
  <c r="J17" i="1"/>
  <c r="K17" i="1"/>
  <c r="I18" i="1"/>
  <c r="J18" i="1"/>
  <c r="K18" i="1"/>
  <c r="I19" i="1"/>
  <c r="J19" i="1"/>
  <c r="K19" i="1"/>
  <c r="I20" i="1"/>
  <c r="J20" i="1"/>
  <c r="K20" i="1"/>
  <c r="I21" i="1"/>
  <c r="J21" i="1"/>
  <c r="K21" i="1"/>
  <c r="I22" i="1"/>
  <c r="J22" i="1"/>
  <c r="K22" i="1"/>
  <c r="I23" i="1"/>
  <c r="J23" i="1"/>
  <c r="K23" i="1"/>
  <c r="I24" i="1"/>
  <c r="J24" i="1"/>
  <c r="K24" i="1"/>
  <c r="I25" i="1"/>
  <c r="J25" i="1"/>
  <c r="K25" i="1"/>
  <c r="I26" i="1"/>
  <c r="J26" i="1"/>
  <c r="K26" i="1"/>
  <c r="I27" i="1"/>
  <c r="J27" i="1"/>
  <c r="K27" i="1"/>
  <c r="I28" i="1"/>
  <c r="J28" i="1"/>
  <c r="K28" i="1"/>
  <c r="I29" i="1"/>
  <c r="J29" i="1"/>
  <c r="K29" i="1"/>
  <c r="I30" i="1"/>
  <c r="J30" i="1"/>
  <c r="K30" i="1"/>
  <c r="I31" i="1"/>
  <c r="J31" i="1"/>
  <c r="K31" i="1"/>
  <c r="I32" i="1"/>
  <c r="J32" i="1"/>
  <c r="K32" i="1"/>
  <c r="I33" i="1"/>
  <c r="J33" i="1"/>
  <c r="K33" i="1"/>
  <c r="I34" i="1"/>
  <c r="J34" i="1"/>
  <c r="K34" i="1"/>
  <c r="I35" i="1"/>
  <c r="J35" i="1"/>
  <c r="K35" i="1"/>
  <c r="I36" i="1"/>
  <c r="J36" i="1"/>
  <c r="K36" i="1"/>
  <c r="I37" i="1"/>
  <c r="J37" i="1"/>
  <c r="K37" i="1"/>
  <c r="I38" i="1"/>
  <c r="J38" i="1"/>
  <c r="K38" i="1"/>
  <c r="I39" i="1"/>
  <c r="J39" i="1"/>
  <c r="K39" i="1"/>
  <c r="I40" i="1"/>
  <c r="J40" i="1"/>
  <c r="K40" i="1"/>
  <c r="I41" i="1"/>
  <c r="J41" i="1"/>
  <c r="K41" i="1"/>
  <c r="I42" i="1"/>
  <c r="J42" i="1"/>
  <c r="K42" i="1"/>
  <c r="I43" i="1"/>
  <c r="J43" i="1"/>
  <c r="K43" i="1"/>
  <c r="I44" i="1"/>
  <c r="J44" i="1"/>
  <c r="K44" i="1"/>
  <c r="I45" i="1"/>
  <c r="J45" i="1"/>
  <c r="K45" i="1"/>
  <c r="I46" i="1"/>
  <c r="J46" i="1"/>
  <c r="K46" i="1"/>
  <c r="I47" i="1"/>
  <c r="J47" i="1"/>
  <c r="K47" i="1"/>
  <c r="I48" i="1"/>
  <c r="J48" i="1"/>
  <c r="K48" i="1"/>
  <c r="I49" i="1"/>
  <c r="J49" i="1"/>
  <c r="K49" i="1"/>
  <c r="I50" i="1"/>
  <c r="J50" i="1"/>
  <c r="K50" i="1"/>
  <c r="I51" i="1"/>
  <c r="J51" i="1"/>
  <c r="K51" i="1"/>
  <c r="I52" i="1"/>
  <c r="J52" i="1"/>
  <c r="K52" i="1"/>
  <c r="I53" i="1"/>
  <c r="J53" i="1"/>
  <c r="K53" i="1"/>
  <c r="I54" i="1"/>
  <c r="J54" i="1"/>
  <c r="K54" i="1"/>
  <c r="I55" i="1"/>
  <c r="J55" i="1"/>
  <c r="K55" i="1"/>
  <c r="I56" i="1"/>
  <c r="J56" i="1"/>
  <c r="K56" i="1"/>
  <c r="I57" i="1"/>
  <c r="J57" i="1"/>
  <c r="K57" i="1"/>
  <c r="C58" i="1"/>
  <c r="D58" i="1"/>
  <c r="H58" i="1"/>
  <c r="B58" i="1"/>
  <c r="B60" i="1" s="1"/>
  <c r="G58" i="1" l="1"/>
  <c r="C62" i="1"/>
  <c r="B59" i="1"/>
  <c r="B62" i="1"/>
  <c r="C63" i="1"/>
  <c r="B64" i="1"/>
  <c r="B63" i="1"/>
</calcChain>
</file>

<file path=xl/sharedStrings.xml><?xml version="1.0" encoding="utf-8"?>
<sst xmlns="http://schemas.openxmlformats.org/spreadsheetml/2006/main" count="273" uniqueCount="131">
  <si>
    <t>Product</t>
  </si>
  <si>
    <t>Current price</t>
  </si>
  <si>
    <t>old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</si>
  <si>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</si>
  <si>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</si>
  <si>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</si>
  <si>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</si>
  <si>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</si>
  <si>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</si>
  <si>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</si>
  <si>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</si>
  <si>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</si>
  <si>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</si>
  <si>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</si>
  <si>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</si>
  <si>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</si>
  <si>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</si>
  <si>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</si>
  <si>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</si>
  <si>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</si>
  <si>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</si>
  <si>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</si>
  <si>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</si>
  <si>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</si>
  <si>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</si>
  <si>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</si>
  <si>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</si>
  <si>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</si>
  <si>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</si>
  <si>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</si>
  <si>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</si>
  <si>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</si>
  <si>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</si>
  <si>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</si>
  <si>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</si>
  <si>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</si>
  <si>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</si>
  <si>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</si>
  <si>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</si>
  <si>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</si>
  <si>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</si>
  <si>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</si>
  <si>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</si>
  <si>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</si>
  <si>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</si>
  <si>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</si>
  <si>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</si>
  <si>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</si>
  <si>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</si>
  <si>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</si>
  <si>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</si>
  <si>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</si>
  <si>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</si>
  <si>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</si>
  <si>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</si>
  <si>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</si>
  <si>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</si>
  <si>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</si>
  <si>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</si>
  <si>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</si>
  <si>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</si>
  <si>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</si>
  <si>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</si>
  <si>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</si>
  <si>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</si>
  <si>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</si>
  <si>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</si>
  <si>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</si>
  <si>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</si>
  <si>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</si>
  <si>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</si>
  <si>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</si>
  <si>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</si>
  <si>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</si>
  <si>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</si>
  <si>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</si>
  <si>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</si>
  <si>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</si>
  <si>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</si>
  <si>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</si>
  <si>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</si>
  <si>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</si>
  <si>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</si>
  <si>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</si>
  <si>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</si>
  <si>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</si>
  <si>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</si>
  <si>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</si>
  <si>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</si>
  <si>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</si>
  <si>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</si>
  <si>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</si>
  <si>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</si>
  <si>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</si>
  <si>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</si>
  <si>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</si>
  <si>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</si>
  <si>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</si>
  <si>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</si>
  <si>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</si>
  <si>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</si>
  <si>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</si>
  <si>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</si>
  <si>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</si>
  <si>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</si>
  <si>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</si>
  <si>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</si>
  <si>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</si>
  <si>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</si>
  <si>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</si>
  <si>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</si>
  <si>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</si>
  <si>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</si>
  <si>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</si>
  <si>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</si>
  <si>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absolute discount amount</t>
  </si>
  <si>
    <t>Product Category</t>
  </si>
  <si>
    <t>Discount Category</t>
  </si>
  <si>
    <t>Average</t>
  </si>
  <si>
    <t>Most Expensive Product</t>
  </si>
  <si>
    <t>Least Expensive Product</t>
  </si>
  <si>
    <t>Excellent</t>
  </si>
  <si>
    <t>Poor</t>
  </si>
  <si>
    <t xml:space="preserve">Discount </t>
  </si>
  <si>
    <t>Row Labels</t>
  </si>
  <si>
    <t>Grand Total</t>
  </si>
  <si>
    <t>High Discount</t>
  </si>
  <si>
    <t>Low Discount</t>
  </si>
  <si>
    <t>Medium Discount</t>
  </si>
  <si>
    <t>Sum of absolute discount amount</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</si>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</sst>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9" fontId="0" fillId="0" borderId="0" xfId="0" applyNumberFormat="1"/>
    <xf numFmtId="0" fontId="16" fillId="0" borderId="0" xfId="0" applyFont="1"/>
    <xf numFmtId="164" fontId="16" fillId="0" borderId="0" xfId="1" applyFont="1"/>
    <xf numFmtId="164" fontId="0" fillId="0" borderId="0" xfId="1" applyFont="1"/>
    <xf numFmtId="9" fontId="0" fillId="0" borderId="0" xfId="2" applyFont="1"/>
    <xf numFmtId="164" fontId="16" fillId="0" borderId="0" xfId="0" applyNumberFormat="1" applyFont="1"/>
    <xf numFmtId="9" fontId="16" fillId="0" borderId="0" xfId="2" applyFon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164" fontId="16" fillId="0" borderId="0" xfId="1" applyFont="1" applyFill="1"/>
    <xf numFmtId="0" fontId="16" fillId="0" borderId="0" xfId="0" applyFont="1" applyFill="1"/>
    <xf numFmtId="0" fontId="0" fillId="0" borderId="0" xfId="0" applyFill="1"/>
    <xf numFmtId="164" fontId="0" fillId="0" borderId="0" xfId="1" applyFont="1" applyFill="1"/>
    <xf numFmtId="9" fontId="0" fillId="0" borderId="0" xfId="0" applyNumberFormat="1" applyFill="1"/>
    <xf numFmtId="2" fontId="0" fillId="0" borderId="0" xfId="0" applyNumberFormat="1" applyFill="1"/>
    <xf numFmtId="164" fontId="16" fillId="0" borderId="0" xfId="0" applyNumberFormat="1" applyFont="1" applyFill="1"/>
    <xf numFmtId="9" fontId="16" fillId="0" borderId="0" xfId="2" applyFont="1" applyFill="1"/>
    <xf numFmtId="9" fontId="0" fillId="0" borderId="0" xfId="2" applyFont="1" applyFill="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8">
    <dxf>
      <fill>
        <patternFill>
          <bgColor theme="5" tint="-0.24994659260841701"/>
        </patternFill>
      </fill>
    </dxf>
    <dxf>
      <fill>
        <patternFill>
          <bgColor theme="5" tint="0.59996337778862885"/>
        </patternFill>
      </fill>
    </dxf>
    <dxf>
      <fill>
        <patternFill>
          <bgColor theme="5" tint="0.79998168889431442"/>
        </patternFill>
      </fill>
    </dxf>
    <dxf>
      <fill>
        <patternFill>
          <bgColor theme="5" tint="-0.24994659260841701"/>
        </patternFill>
      </fill>
    </dxf>
    <dxf>
      <fill>
        <patternFill>
          <bgColor theme="5" tint="0.59996337778862885"/>
        </patternFill>
      </fill>
    </dxf>
    <dxf>
      <fill>
        <patternFill>
          <bgColor theme="5" tint="0.79998168889431442"/>
        </patternFill>
      </fill>
    </dxf>
    <dxf>
      <fill>
        <patternFill>
          <bgColor theme="5" tint="-0.24994659260841701"/>
        </patternFill>
      </fill>
    </dxf>
    <dxf>
      <fill>
        <patternFill>
          <bgColor theme="5" tint="0.59996337778862885"/>
        </patternFill>
      </fill>
    </dxf>
    <dxf>
      <fill>
        <patternFill>
          <bgColor theme="5" tint="0.79998168889431442"/>
        </patternFill>
      </fill>
    </dxf>
    <dxf>
      <fill>
        <patternFill>
          <bgColor theme="5" tint="-0.24994659260841701"/>
        </patternFill>
      </fill>
    </dxf>
    <dxf>
      <fill>
        <patternFill>
          <bgColor theme="5" tint="0.59996337778862885"/>
        </patternFill>
      </fill>
    </dxf>
    <dxf>
      <fill>
        <patternFill>
          <bgColor theme="5" tint="0.79998168889431442"/>
        </patternFill>
      </fill>
    </dxf>
    <dxf>
      <fill>
        <patternFill>
          <bgColor theme="5" tint="-0.24994659260841701"/>
        </patternFill>
      </fill>
    </dxf>
    <dxf>
      <fill>
        <patternFill>
          <bgColor theme="5" tint="0.59996337778862885"/>
        </patternFill>
      </fill>
    </dxf>
    <dxf>
      <fill>
        <patternFill>
          <bgColor theme="5" tint="0.79998168889431442"/>
        </patternFill>
      </fill>
    </dxf>
    <dxf>
      <fill>
        <patternFill>
          <bgColor theme="5" tint="-0.24994659260841701"/>
        </patternFill>
      </fill>
    </dxf>
    <dxf>
      <fill>
        <patternFill>
          <bgColor theme="5" tint="0.59996337778862885"/>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
            </a:r>
            <a:r>
              <a:rPr lang="en-KE" sz="1400" b="0" i="0" u="none" strike="noStrike" baseline="0"/>
              <a:t>elationship between rating and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5"/>
          <c:tx>
            <c:strRef>
              <c:f>Excel_jumia_dataset!$G$1</c:f>
              <c:strCache>
                <c:ptCount val="1"/>
                <c:pt idx="0">
                  <c:v>Review</c:v>
                </c:pt>
              </c:strCache>
            </c:strRef>
          </c:tx>
          <c:spPr>
            <a:ln w="28575" cap="rnd">
              <a:solidFill>
                <a:schemeClr val="accent5">
                  <a:tint val="94000"/>
                </a:schemeClr>
              </a:solidFill>
              <a:round/>
            </a:ln>
            <a:effectLst/>
          </c:spPr>
          <c:marker>
            <c:symbol val="circle"/>
            <c:size val="5"/>
            <c:spPr>
              <a:solidFill>
                <a:schemeClr val="accent5">
                  <a:tint val="94000"/>
                </a:schemeClr>
              </a:solidFill>
              <a:ln w="9525">
                <a:solidFill>
                  <a:schemeClr val="accent5">
                    <a:tint val="94000"/>
                  </a:schemeClr>
                </a:solidFill>
              </a:ln>
              <a:effectLst/>
            </c:spPr>
          </c:marker>
          <c:val>
            <c:numRef>
              <c:f>Excel_jumia_dataset!$G$2:$G$57</c:f>
              <c:numCache>
                <c:formatCode>General</c:formatCode>
                <c:ptCount val="56"/>
                <c:pt idx="0">
                  <c:v>2</c:v>
                </c:pt>
                <c:pt idx="1">
                  <c:v>14</c:v>
                </c:pt>
                <c:pt idx="2">
                  <c:v>24</c:v>
                </c:pt>
                <c:pt idx="3">
                  <c:v>7</c:v>
                </c:pt>
                <c:pt idx="4">
                  <c:v>5</c:v>
                </c:pt>
                <c:pt idx="5">
                  <c:v>15</c:v>
                </c:pt>
                <c:pt idx="6">
                  <c:v>55</c:v>
                </c:pt>
                <c:pt idx="7">
                  <c:v>2</c:v>
                </c:pt>
                <c:pt idx="8">
                  <c:v>5</c:v>
                </c:pt>
                <c:pt idx="9">
                  <c:v>5</c:v>
                </c:pt>
                <c:pt idx="10">
                  <c:v>12</c:v>
                </c:pt>
                <c:pt idx="11">
                  <c:v>12</c:v>
                </c:pt>
                <c:pt idx="12">
                  <c:v>6</c:v>
                </c:pt>
                <c:pt idx="13">
                  <c:v>9</c:v>
                </c:pt>
                <c:pt idx="14">
                  <c:v>2</c:v>
                </c:pt>
                <c:pt idx="15">
                  <c:v>2</c:v>
                </c:pt>
                <c:pt idx="16">
                  <c:v>3</c:v>
                </c:pt>
                <c:pt idx="17">
                  <c:v>5</c:v>
                </c:pt>
                <c:pt idx="18">
                  <c:v>44</c:v>
                </c:pt>
                <c:pt idx="19">
                  <c:v>13</c:v>
                </c:pt>
                <c:pt idx="20">
                  <c:v>6</c:v>
                </c:pt>
                <c:pt idx="21">
                  <c:v>14</c:v>
                </c:pt>
                <c:pt idx="22">
                  <c:v>7</c:v>
                </c:pt>
                <c:pt idx="23">
                  <c:v>49</c:v>
                </c:pt>
                <c:pt idx="24">
                  <c:v>12</c:v>
                </c:pt>
                <c:pt idx="25">
                  <c:v>13</c:v>
                </c:pt>
                <c:pt idx="26">
                  <c:v>20</c:v>
                </c:pt>
                <c:pt idx="27">
                  <c:v>9</c:v>
                </c:pt>
                <c:pt idx="28">
                  <c:v>12</c:v>
                </c:pt>
                <c:pt idx="29">
                  <c:v>9</c:v>
                </c:pt>
                <c:pt idx="30">
                  <c:v>20</c:v>
                </c:pt>
                <c:pt idx="31">
                  <c:v>32</c:v>
                </c:pt>
                <c:pt idx="32">
                  <c:v>1</c:v>
                </c:pt>
                <c:pt idx="33">
                  <c:v>2</c:v>
                </c:pt>
                <c:pt idx="34">
                  <c:v>36</c:v>
                </c:pt>
                <c:pt idx="35">
                  <c:v>2</c:v>
                </c:pt>
                <c:pt idx="36">
                  <c:v>6</c:v>
                </c:pt>
                <c:pt idx="37">
                  <c:v>10</c:v>
                </c:pt>
                <c:pt idx="38">
                  <c:v>13</c:v>
                </c:pt>
                <c:pt idx="39">
                  <c:v>69</c:v>
                </c:pt>
                <c:pt idx="40">
                  <c:v>15</c:v>
                </c:pt>
                <c:pt idx="41">
                  <c:v>16</c:v>
                </c:pt>
                <c:pt idx="42">
                  <c:v>6</c:v>
                </c:pt>
                <c:pt idx="43">
                  <c:v>7</c:v>
                </c:pt>
                <c:pt idx="44">
                  <c:v>5</c:v>
                </c:pt>
                <c:pt idx="45">
                  <c:v>17</c:v>
                </c:pt>
                <c:pt idx="46">
                  <c:v>5</c:v>
                </c:pt>
                <c:pt idx="47">
                  <c:v>6</c:v>
                </c:pt>
                <c:pt idx="48">
                  <c:v>5</c:v>
                </c:pt>
                <c:pt idx="49">
                  <c:v>6</c:v>
                </c:pt>
                <c:pt idx="50">
                  <c:v>7</c:v>
                </c:pt>
                <c:pt idx="51">
                  <c:v>1</c:v>
                </c:pt>
                <c:pt idx="52">
                  <c:v>1</c:v>
                </c:pt>
                <c:pt idx="53">
                  <c:v>1</c:v>
                </c:pt>
                <c:pt idx="54">
                  <c:v>1</c:v>
                </c:pt>
                <c:pt idx="55">
                  <c:v>1</c:v>
                </c:pt>
              </c:numCache>
            </c:numRef>
          </c:val>
          <c:smooth val="0"/>
          <c:extLst>
            <c:ext xmlns:c16="http://schemas.microsoft.com/office/drawing/2014/chart" uri="{C3380CC4-5D6E-409C-BE32-E72D297353CC}">
              <c16:uniqueId val="{00000000-4CA0-45A3-9069-50754D98E9CA}"/>
            </c:ext>
          </c:extLst>
        </c:ser>
        <c:dLbls>
          <c:showLegendKey val="0"/>
          <c:showVal val="0"/>
          <c:showCatName val="0"/>
          <c:showSerName val="0"/>
          <c:showPercent val="0"/>
          <c:showBubbleSize val="0"/>
        </c:dLbls>
        <c:marker val="1"/>
        <c:smooth val="0"/>
        <c:axId val="1460990319"/>
        <c:axId val="1460982639"/>
        <c:extLst>
          <c:ext xmlns:c15="http://schemas.microsoft.com/office/drawing/2012/chart" uri="{02D57815-91ED-43cb-92C2-25804820EDAC}">
            <c15:filteredLineSeries>
              <c15:ser>
                <c:idx val="0"/>
                <c:order val="0"/>
                <c:tx>
                  <c:strRef>
                    <c:extLst>
                      <c:ext uri="{02D57815-91ED-43cb-92C2-25804820EDAC}">
                        <c15:formulaRef>
                          <c15:sqref>Excel_jumia_dataset!$B$1</c15:sqref>
                        </c15:formulaRef>
                      </c:ext>
                    </c:extLst>
                    <c:strCache>
                      <c:ptCount val="1"/>
                      <c:pt idx="0">
                        <c:v>Current price</c:v>
                      </c:pt>
                    </c:strCache>
                  </c:strRef>
                </c:tx>
                <c:spPr>
                  <a:ln w="28575" cap="rnd">
                    <a:solidFill>
                      <a:schemeClr val="accent5">
                        <a:shade val="42000"/>
                      </a:schemeClr>
                    </a:solidFill>
                    <a:round/>
                  </a:ln>
                  <a:effectLst/>
                </c:spPr>
                <c:marker>
                  <c:symbol val="circle"/>
                  <c:size val="5"/>
                  <c:spPr>
                    <a:solidFill>
                      <a:schemeClr val="accent5">
                        <a:shade val="42000"/>
                      </a:schemeClr>
                    </a:solidFill>
                    <a:ln w="9525">
                      <a:solidFill>
                        <a:schemeClr val="accent5">
                          <a:shade val="42000"/>
                        </a:schemeClr>
                      </a:solidFill>
                    </a:ln>
                    <a:effectLst/>
                  </c:spPr>
                </c:marker>
                <c:val>
                  <c:numRef>
                    <c:extLst>
                      <c:ext uri="{02D57815-91ED-43cb-92C2-25804820EDAC}">
                        <c15:formulaRef>
                          <c15:sqref>Excel_jumia_dataset!$B$2:$B$57</c15:sqref>
                        </c15:formulaRef>
                      </c:ext>
                    </c:extLst>
                    <c:numCache>
                      <c:formatCode>_(* #,##0.00_);_(* \(#,##0.00\);_(* "-"??_);_(@_)</c:formatCode>
                      <c:ptCount val="56"/>
                      <c:pt idx="0">
                        <c:v>950</c:v>
                      </c:pt>
                      <c:pt idx="1">
                        <c:v>527</c:v>
                      </c:pt>
                      <c:pt idx="2">
                        <c:v>2199</c:v>
                      </c:pt>
                      <c:pt idx="3">
                        <c:v>1580</c:v>
                      </c:pt>
                      <c:pt idx="4">
                        <c:v>1740</c:v>
                      </c:pt>
                      <c:pt idx="5">
                        <c:v>2999</c:v>
                      </c:pt>
                      <c:pt idx="6">
                        <c:v>2319</c:v>
                      </c:pt>
                      <c:pt idx="7">
                        <c:v>988</c:v>
                      </c:pt>
                      <c:pt idx="8">
                        <c:v>1274</c:v>
                      </c:pt>
                      <c:pt idx="9">
                        <c:v>1600</c:v>
                      </c:pt>
                      <c:pt idx="10">
                        <c:v>799</c:v>
                      </c:pt>
                      <c:pt idx="11">
                        <c:v>552</c:v>
                      </c:pt>
                      <c:pt idx="12">
                        <c:v>501</c:v>
                      </c:pt>
                      <c:pt idx="13">
                        <c:v>1680</c:v>
                      </c:pt>
                      <c:pt idx="14">
                        <c:v>332</c:v>
                      </c:pt>
                      <c:pt idx="15">
                        <c:v>195</c:v>
                      </c:pt>
                      <c:pt idx="16">
                        <c:v>2025</c:v>
                      </c:pt>
                      <c:pt idx="17">
                        <c:v>2999</c:v>
                      </c:pt>
                      <c:pt idx="18">
                        <c:v>998</c:v>
                      </c:pt>
                      <c:pt idx="19">
                        <c:v>38</c:v>
                      </c:pt>
                      <c:pt idx="20">
                        <c:v>880</c:v>
                      </c:pt>
                      <c:pt idx="21">
                        <c:v>1650</c:v>
                      </c:pt>
                      <c:pt idx="22">
                        <c:v>2048</c:v>
                      </c:pt>
                      <c:pt idx="23">
                        <c:v>420</c:v>
                      </c:pt>
                      <c:pt idx="24">
                        <c:v>2880</c:v>
                      </c:pt>
                      <c:pt idx="25">
                        <c:v>1350</c:v>
                      </c:pt>
                      <c:pt idx="26">
                        <c:v>1758</c:v>
                      </c:pt>
                      <c:pt idx="27">
                        <c:v>185</c:v>
                      </c:pt>
                      <c:pt idx="28">
                        <c:v>980</c:v>
                      </c:pt>
                      <c:pt idx="29">
                        <c:v>1820</c:v>
                      </c:pt>
                      <c:pt idx="30">
                        <c:v>1940</c:v>
                      </c:pt>
                      <c:pt idx="31">
                        <c:v>1980</c:v>
                      </c:pt>
                      <c:pt idx="32">
                        <c:v>1620</c:v>
                      </c:pt>
                      <c:pt idx="33">
                        <c:v>171</c:v>
                      </c:pt>
                      <c:pt idx="34">
                        <c:v>389</c:v>
                      </c:pt>
                      <c:pt idx="35">
                        <c:v>1800</c:v>
                      </c:pt>
                      <c:pt idx="36">
                        <c:v>2170</c:v>
                      </c:pt>
                      <c:pt idx="37">
                        <c:v>458</c:v>
                      </c:pt>
                      <c:pt idx="38">
                        <c:v>2115</c:v>
                      </c:pt>
                      <c:pt idx="39">
                        <c:v>445</c:v>
                      </c:pt>
                      <c:pt idx="40">
                        <c:v>325</c:v>
                      </c:pt>
                      <c:pt idx="41">
                        <c:v>1220</c:v>
                      </c:pt>
                      <c:pt idx="42">
                        <c:v>990</c:v>
                      </c:pt>
                      <c:pt idx="43">
                        <c:v>1000</c:v>
                      </c:pt>
                      <c:pt idx="44">
                        <c:v>3750</c:v>
                      </c:pt>
                      <c:pt idx="45">
                        <c:v>382</c:v>
                      </c:pt>
                      <c:pt idx="46">
                        <c:v>2300</c:v>
                      </c:pt>
                      <c:pt idx="47">
                        <c:v>345</c:v>
                      </c:pt>
                      <c:pt idx="48">
                        <c:v>509</c:v>
                      </c:pt>
                      <c:pt idx="49">
                        <c:v>968</c:v>
                      </c:pt>
                      <c:pt idx="50">
                        <c:v>1570</c:v>
                      </c:pt>
                      <c:pt idx="51">
                        <c:v>1189</c:v>
                      </c:pt>
                      <c:pt idx="52">
                        <c:v>979</c:v>
                      </c:pt>
                      <c:pt idx="53">
                        <c:v>330</c:v>
                      </c:pt>
                      <c:pt idx="54">
                        <c:v>3640</c:v>
                      </c:pt>
                      <c:pt idx="55">
                        <c:v>450</c:v>
                      </c:pt>
                    </c:numCache>
                  </c:numRef>
                </c:val>
                <c:smooth val="0"/>
                <c:extLst>
                  <c:ext xmlns:c16="http://schemas.microsoft.com/office/drawing/2014/chart" uri="{C3380CC4-5D6E-409C-BE32-E72D297353CC}">
                    <c16:uniqueId val="{00000002-4CA0-45A3-9069-50754D98E9C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Excel_jumia_dataset!$C$1</c15:sqref>
                        </c15:formulaRef>
                      </c:ext>
                    </c:extLst>
                    <c:strCache>
                      <c:ptCount val="1"/>
                      <c:pt idx="0">
                        <c:v> old price </c:v>
                      </c:pt>
                    </c:strCache>
                  </c:strRef>
                </c:tx>
                <c:spPr>
                  <a:ln w="28575" cap="rnd">
                    <a:solidFill>
                      <a:schemeClr val="accent5">
                        <a:shade val="55000"/>
                      </a:schemeClr>
                    </a:solidFill>
                    <a:round/>
                  </a:ln>
                  <a:effectLst/>
                </c:spPr>
                <c:marker>
                  <c:symbol val="circle"/>
                  <c:size val="5"/>
                  <c:spPr>
                    <a:solidFill>
                      <a:schemeClr val="accent5">
                        <a:shade val="55000"/>
                      </a:schemeClr>
                    </a:solidFill>
                    <a:ln w="9525">
                      <a:solidFill>
                        <a:schemeClr val="accent5">
                          <a:shade val="55000"/>
                        </a:schemeClr>
                      </a:solidFill>
                    </a:ln>
                    <a:effectLst/>
                  </c:spPr>
                </c:marker>
                <c:val>
                  <c:numRef>
                    <c:extLst xmlns:c15="http://schemas.microsoft.com/office/drawing/2012/chart">
                      <c:ext xmlns:c15="http://schemas.microsoft.com/office/drawing/2012/chart" uri="{02D57815-91ED-43cb-92C2-25804820EDAC}">
                        <c15:formulaRef>
                          <c15:sqref>Excel_jumia_dataset!$C$2:$C$57</c15:sqref>
                        </c15:formulaRef>
                      </c:ext>
                    </c:extLst>
                    <c:numCache>
                      <c:formatCode>_(* #,##0.00_);_(* \(#,##0.00\);_(* "-"??_);_(@_)</c:formatCode>
                      <c:ptCount val="56"/>
                      <c:pt idx="0">
                        <c:v>1525</c:v>
                      </c:pt>
                      <c:pt idx="1">
                        <c:v>999</c:v>
                      </c:pt>
                      <c:pt idx="2">
                        <c:v>2923</c:v>
                      </c:pt>
                      <c:pt idx="3">
                        <c:v>2499</c:v>
                      </c:pt>
                      <c:pt idx="4">
                        <c:v>2356</c:v>
                      </c:pt>
                      <c:pt idx="5">
                        <c:v>3290</c:v>
                      </c:pt>
                      <c:pt idx="6">
                        <c:v>3032</c:v>
                      </c:pt>
                      <c:pt idx="7">
                        <c:v>1580</c:v>
                      </c:pt>
                      <c:pt idx="8">
                        <c:v>2800</c:v>
                      </c:pt>
                      <c:pt idx="9">
                        <c:v>2929</c:v>
                      </c:pt>
                      <c:pt idx="10">
                        <c:v>999</c:v>
                      </c:pt>
                      <c:pt idx="11">
                        <c:v>1035</c:v>
                      </c:pt>
                      <c:pt idx="12">
                        <c:v>860</c:v>
                      </c:pt>
                      <c:pt idx="13">
                        <c:v>2499</c:v>
                      </c:pt>
                      <c:pt idx="14">
                        <c:v>684</c:v>
                      </c:pt>
                      <c:pt idx="15">
                        <c:v>360</c:v>
                      </c:pt>
                      <c:pt idx="16">
                        <c:v>3971</c:v>
                      </c:pt>
                      <c:pt idx="17">
                        <c:v>3699</c:v>
                      </c:pt>
                      <c:pt idx="18">
                        <c:v>1966</c:v>
                      </c:pt>
                      <c:pt idx="19">
                        <c:v>80</c:v>
                      </c:pt>
                      <c:pt idx="20">
                        <c:v>1350</c:v>
                      </c:pt>
                      <c:pt idx="21">
                        <c:v>2150</c:v>
                      </c:pt>
                      <c:pt idx="22">
                        <c:v>4500</c:v>
                      </c:pt>
                      <c:pt idx="23">
                        <c:v>647</c:v>
                      </c:pt>
                      <c:pt idx="24">
                        <c:v>3520</c:v>
                      </c:pt>
                      <c:pt idx="25">
                        <c:v>1990</c:v>
                      </c:pt>
                      <c:pt idx="26">
                        <c:v>2499</c:v>
                      </c:pt>
                      <c:pt idx="27">
                        <c:v>382</c:v>
                      </c:pt>
                      <c:pt idx="28">
                        <c:v>1490</c:v>
                      </c:pt>
                      <c:pt idx="29">
                        <c:v>3490</c:v>
                      </c:pt>
                      <c:pt idx="30">
                        <c:v>2650</c:v>
                      </c:pt>
                      <c:pt idx="31">
                        <c:v>2699</c:v>
                      </c:pt>
                      <c:pt idx="32">
                        <c:v>2690</c:v>
                      </c:pt>
                      <c:pt idx="33">
                        <c:v>360</c:v>
                      </c:pt>
                      <c:pt idx="34">
                        <c:v>656</c:v>
                      </c:pt>
                      <c:pt idx="35">
                        <c:v>2700</c:v>
                      </c:pt>
                      <c:pt idx="36">
                        <c:v>2500</c:v>
                      </c:pt>
                      <c:pt idx="37">
                        <c:v>986</c:v>
                      </c:pt>
                      <c:pt idx="38">
                        <c:v>4700</c:v>
                      </c:pt>
                      <c:pt idx="39">
                        <c:v>873</c:v>
                      </c:pt>
                      <c:pt idx="40">
                        <c:v>680</c:v>
                      </c:pt>
                      <c:pt idx="41">
                        <c:v>1555</c:v>
                      </c:pt>
                      <c:pt idx="42">
                        <c:v>1814</c:v>
                      </c:pt>
                      <c:pt idx="43">
                        <c:v>2000</c:v>
                      </c:pt>
                      <c:pt idx="44">
                        <c:v>6143</c:v>
                      </c:pt>
                      <c:pt idx="45">
                        <c:v>700</c:v>
                      </c:pt>
                      <c:pt idx="46">
                        <c:v>3240</c:v>
                      </c:pt>
                      <c:pt idx="47">
                        <c:v>602</c:v>
                      </c:pt>
                      <c:pt idx="48">
                        <c:v>899</c:v>
                      </c:pt>
                      <c:pt idx="49">
                        <c:v>1814</c:v>
                      </c:pt>
                      <c:pt idx="50">
                        <c:v>2988</c:v>
                      </c:pt>
                      <c:pt idx="51">
                        <c:v>2199</c:v>
                      </c:pt>
                      <c:pt idx="52">
                        <c:v>1920</c:v>
                      </c:pt>
                      <c:pt idx="53">
                        <c:v>647</c:v>
                      </c:pt>
                      <c:pt idx="54">
                        <c:v>4588</c:v>
                      </c:pt>
                      <c:pt idx="55">
                        <c:v>900</c:v>
                      </c:pt>
                    </c:numCache>
                  </c:numRef>
                </c:val>
                <c:smooth val="0"/>
                <c:extLst xmlns:c15="http://schemas.microsoft.com/office/drawing/2012/chart">
                  <c:ext xmlns:c16="http://schemas.microsoft.com/office/drawing/2014/chart" uri="{C3380CC4-5D6E-409C-BE32-E72D297353CC}">
                    <c16:uniqueId val="{00000003-4CA0-45A3-9069-50754D98E9C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Excel_jumia_dataset!$D$1</c15:sqref>
                        </c15:formulaRef>
                      </c:ext>
                    </c:extLst>
                    <c:strCache>
                      <c:ptCount val="1"/>
                      <c:pt idx="0">
                        <c:v>Discount</c:v>
                      </c:pt>
                    </c:strCache>
                  </c:strRef>
                </c:tx>
                <c:spPr>
                  <a:ln w="28575" cap="rnd">
                    <a:solidFill>
                      <a:schemeClr val="accent5">
                        <a:shade val="68000"/>
                      </a:schemeClr>
                    </a:solidFill>
                    <a:round/>
                  </a:ln>
                  <a:effectLst/>
                </c:spPr>
                <c:marker>
                  <c:symbol val="circle"/>
                  <c:size val="5"/>
                  <c:spPr>
                    <a:solidFill>
                      <a:schemeClr val="accent5">
                        <a:shade val="68000"/>
                      </a:schemeClr>
                    </a:solidFill>
                    <a:ln w="9525">
                      <a:solidFill>
                        <a:schemeClr val="accent5">
                          <a:shade val="68000"/>
                        </a:schemeClr>
                      </a:solidFill>
                    </a:ln>
                    <a:effectLst/>
                  </c:spPr>
                </c:marker>
                <c:val>
                  <c:numRef>
                    <c:extLst xmlns:c15="http://schemas.microsoft.com/office/drawing/2012/chart">
                      <c:ext xmlns:c15="http://schemas.microsoft.com/office/drawing/2012/chart" uri="{02D57815-91ED-43cb-92C2-25804820EDAC}">
                        <c15:formulaRef>
                          <c15:sqref>Excel_jumia_dataset!$D$2:$D$57</c15:sqref>
                        </c15:formulaRef>
                      </c:ext>
                    </c:extLst>
                    <c:numCache>
                      <c:formatCode>0%</c:formatCode>
                      <c:ptCount val="56"/>
                      <c:pt idx="0">
                        <c:v>0.38</c:v>
                      </c:pt>
                      <c:pt idx="1">
                        <c:v>0.47</c:v>
                      </c:pt>
                      <c:pt idx="2">
                        <c:v>0.25</c:v>
                      </c:pt>
                      <c:pt idx="3">
                        <c:v>0.37</c:v>
                      </c:pt>
                      <c:pt idx="4">
                        <c:v>0.26</c:v>
                      </c:pt>
                      <c:pt idx="5">
                        <c:v>0.09</c:v>
                      </c:pt>
                      <c:pt idx="6">
                        <c:v>0.24</c:v>
                      </c:pt>
                      <c:pt idx="7">
                        <c:v>0.37</c:v>
                      </c:pt>
                      <c:pt idx="8">
                        <c:v>0.55000000000000004</c:v>
                      </c:pt>
                      <c:pt idx="9">
                        <c:v>0.45</c:v>
                      </c:pt>
                      <c:pt idx="10">
                        <c:v>0.2</c:v>
                      </c:pt>
                      <c:pt idx="11">
                        <c:v>0.47</c:v>
                      </c:pt>
                      <c:pt idx="12">
                        <c:v>0.42</c:v>
                      </c:pt>
                      <c:pt idx="13">
                        <c:v>0.33</c:v>
                      </c:pt>
                      <c:pt idx="14">
                        <c:v>0.51</c:v>
                      </c:pt>
                      <c:pt idx="15">
                        <c:v>0.46</c:v>
                      </c:pt>
                      <c:pt idx="16">
                        <c:v>0.49</c:v>
                      </c:pt>
                      <c:pt idx="17">
                        <c:v>0.19</c:v>
                      </c:pt>
                      <c:pt idx="18">
                        <c:v>0.49</c:v>
                      </c:pt>
                      <c:pt idx="19">
                        <c:v>0.53</c:v>
                      </c:pt>
                      <c:pt idx="20">
                        <c:v>0.35</c:v>
                      </c:pt>
                      <c:pt idx="21">
                        <c:v>0.23</c:v>
                      </c:pt>
                      <c:pt idx="22">
                        <c:v>0.54</c:v>
                      </c:pt>
                      <c:pt idx="23">
                        <c:v>0.35</c:v>
                      </c:pt>
                      <c:pt idx="24">
                        <c:v>0.18</c:v>
                      </c:pt>
                      <c:pt idx="25">
                        <c:v>0.32</c:v>
                      </c:pt>
                      <c:pt idx="26">
                        <c:v>0.3</c:v>
                      </c:pt>
                      <c:pt idx="27">
                        <c:v>0.52</c:v>
                      </c:pt>
                      <c:pt idx="28">
                        <c:v>0.34</c:v>
                      </c:pt>
                      <c:pt idx="29">
                        <c:v>0.48</c:v>
                      </c:pt>
                      <c:pt idx="30">
                        <c:v>0.27</c:v>
                      </c:pt>
                      <c:pt idx="31">
                        <c:v>0.27</c:v>
                      </c:pt>
                      <c:pt idx="32">
                        <c:v>0.4</c:v>
                      </c:pt>
                      <c:pt idx="33">
                        <c:v>0.53</c:v>
                      </c:pt>
                      <c:pt idx="34">
                        <c:v>0.41</c:v>
                      </c:pt>
                      <c:pt idx="35">
                        <c:v>0.38</c:v>
                      </c:pt>
                      <c:pt idx="36">
                        <c:v>0.13</c:v>
                      </c:pt>
                      <c:pt idx="37">
                        <c:v>0.54</c:v>
                      </c:pt>
                      <c:pt idx="38">
                        <c:v>0.55000000000000004</c:v>
                      </c:pt>
                      <c:pt idx="39">
                        <c:v>0.49</c:v>
                      </c:pt>
                      <c:pt idx="40">
                        <c:v>0.52</c:v>
                      </c:pt>
                      <c:pt idx="41">
                        <c:v>0.22</c:v>
                      </c:pt>
                      <c:pt idx="42">
                        <c:v>0.45</c:v>
                      </c:pt>
                      <c:pt idx="43">
                        <c:v>0.5</c:v>
                      </c:pt>
                      <c:pt idx="44">
                        <c:v>0.39</c:v>
                      </c:pt>
                      <c:pt idx="45">
                        <c:v>0.45</c:v>
                      </c:pt>
                      <c:pt idx="46">
                        <c:v>0.28999999999999998</c:v>
                      </c:pt>
                      <c:pt idx="47">
                        <c:v>0.43</c:v>
                      </c:pt>
                      <c:pt idx="48">
                        <c:v>0.43</c:v>
                      </c:pt>
                      <c:pt idx="49">
                        <c:v>0.47</c:v>
                      </c:pt>
                      <c:pt idx="50">
                        <c:v>0.47</c:v>
                      </c:pt>
                      <c:pt idx="51">
                        <c:v>0.46</c:v>
                      </c:pt>
                      <c:pt idx="52">
                        <c:v>0.49</c:v>
                      </c:pt>
                      <c:pt idx="53">
                        <c:v>0.49</c:v>
                      </c:pt>
                      <c:pt idx="54">
                        <c:v>0.21</c:v>
                      </c:pt>
                      <c:pt idx="55">
                        <c:v>0.5</c:v>
                      </c:pt>
                    </c:numCache>
                  </c:numRef>
                </c:val>
                <c:smooth val="0"/>
                <c:extLst xmlns:c15="http://schemas.microsoft.com/office/drawing/2012/chart">
                  <c:ext xmlns:c16="http://schemas.microsoft.com/office/drawing/2014/chart" uri="{C3380CC4-5D6E-409C-BE32-E72D297353CC}">
                    <c16:uniqueId val="{00000004-4CA0-45A3-9069-50754D98E9C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Excel_jumia_dataset!$E$1</c15:sqref>
                        </c15:formulaRef>
                      </c:ext>
                    </c:extLst>
                    <c:strCache>
                      <c:ptCount val="1"/>
                      <c:pt idx="0">
                        <c:v>Discount </c:v>
                      </c:pt>
                    </c:strCache>
                  </c:strRef>
                </c:tx>
                <c:spPr>
                  <a:ln w="28575" cap="rnd">
                    <a:solidFill>
                      <a:schemeClr val="accent5">
                        <a:shade val="80000"/>
                      </a:schemeClr>
                    </a:solidFill>
                    <a:round/>
                  </a:ln>
                  <a:effectLst/>
                </c:spPr>
                <c:marker>
                  <c:symbol val="circle"/>
                  <c:size val="5"/>
                  <c:spPr>
                    <a:solidFill>
                      <a:schemeClr val="accent5">
                        <a:shade val="80000"/>
                      </a:schemeClr>
                    </a:solidFill>
                    <a:ln w="9525">
                      <a:solidFill>
                        <a:schemeClr val="accent5">
                          <a:shade val="80000"/>
                        </a:schemeClr>
                      </a:solidFill>
                    </a:ln>
                    <a:effectLst/>
                  </c:spPr>
                </c:marker>
                <c:val>
                  <c:numRef>
                    <c:extLst xmlns:c15="http://schemas.microsoft.com/office/drawing/2012/chart">
                      <c:ext xmlns:c15="http://schemas.microsoft.com/office/drawing/2012/chart" uri="{02D57815-91ED-43cb-92C2-25804820EDAC}">
                        <c15:formulaRef>
                          <c15:sqref>Excel_jumia_dataset!$E$2:$E$57</c15:sqref>
                        </c15:formulaRef>
                      </c:ext>
                    </c:extLst>
                    <c:numCache>
                      <c:formatCode>0.00</c:formatCode>
                      <c:ptCount val="56"/>
                      <c:pt idx="0">
                        <c:v>0.38</c:v>
                      </c:pt>
                      <c:pt idx="1">
                        <c:v>0.47</c:v>
                      </c:pt>
                      <c:pt idx="2">
                        <c:v>0.25</c:v>
                      </c:pt>
                      <c:pt idx="3">
                        <c:v>0.37</c:v>
                      </c:pt>
                      <c:pt idx="4">
                        <c:v>0.26</c:v>
                      </c:pt>
                      <c:pt idx="5">
                        <c:v>0.09</c:v>
                      </c:pt>
                      <c:pt idx="6">
                        <c:v>0.24</c:v>
                      </c:pt>
                      <c:pt idx="7">
                        <c:v>0.37</c:v>
                      </c:pt>
                      <c:pt idx="8">
                        <c:v>0.55000000000000004</c:v>
                      </c:pt>
                      <c:pt idx="9">
                        <c:v>0.45</c:v>
                      </c:pt>
                      <c:pt idx="10">
                        <c:v>0.2</c:v>
                      </c:pt>
                      <c:pt idx="11">
                        <c:v>0.47</c:v>
                      </c:pt>
                      <c:pt idx="12">
                        <c:v>0.42</c:v>
                      </c:pt>
                      <c:pt idx="13">
                        <c:v>0.33</c:v>
                      </c:pt>
                      <c:pt idx="14">
                        <c:v>0.51</c:v>
                      </c:pt>
                      <c:pt idx="15">
                        <c:v>0.46</c:v>
                      </c:pt>
                      <c:pt idx="16">
                        <c:v>0.49</c:v>
                      </c:pt>
                      <c:pt idx="17">
                        <c:v>0.19</c:v>
                      </c:pt>
                      <c:pt idx="18">
                        <c:v>0.49</c:v>
                      </c:pt>
                      <c:pt idx="19">
                        <c:v>0.53</c:v>
                      </c:pt>
                      <c:pt idx="20">
                        <c:v>0.35</c:v>
                      </c:pt>
                      <c:pt idx="21">
                        <c:v>0.23</c:v>
                      </c:pt>
                      <c:pt idx="22">
                        <c:v>0.54</c:v>
                      </c:pt>
                      <c:pt idx="23">
                        <c:v>0.35</c:v>
                      </c:pt>
                      <c:pt idx="24">
                        <c:v>0.18</c:v>
                      </c:pt>
                      <c:pt idx="25">
                        <c:v>0.32</c:v>
                      </c:pt>
                      <c:pt idx="26">
                        <c:v>0.3</c:v>
                      </c:pt>
                      <c:pt idx="27">
                        <c:v>0.52</c:v>
                      </c:pt>
                      <c:pt idx="28">
                        <c:v>0.34</c:v>
                      </c:pt>
                      <c:pt idx="29">
                        <c:v>0.48</c:v>
                      </c:pt>
                      <c:pt idx="30">
                        <c:v>0.27</c:v>
                      </c:pt>
                      <c:pt idx="31">
                        <c:v>0.27</c:v>
                      </c:pt>
                      <c:pt idx="32">
                        <c:v>0.4</c:v>
                      </c:pt>
                      <c:pt idx="33">
                        <c:v>0.53</c:v>
                      </c:pt>
                      <c:pt idx="34">
                        <c:v>0.41</c:v>
                      </c:pt>
                      <c:pt idx="35">
                        <c:v>0.38</c:v>
                      </c:pt>
                      <c:pt idx="36">
                        <c:v>0.13</c:v>
                      </c:pt>
                      <c:pt idx="37">
                        <c:v>0.54</c:v>
                      </c:pt>
                      <c:pt idx="38">
                        <c:v>0.55000000000000004</c:v>
                      </c:pt>
                      <c:pt idx="39">
                        <c:v>0.49</c:v>
                      </c:pt>
                      <c:pt idx="40">
                        <c:v>0.52</c:v>
                      </c:pt>
                      <c:pt idx="41">
                        <c:v>0.22</c:v>
                      </c:pt>
                      <c:pt idx="42">
                        <c:v>0.45</c:v>
                      </c:pt>
                      <c:pt idx="43">
                        <c:v>0.5</c:v>
                      </c:pt>
                      <c:pt idx="44">
                        <c:v>0.39</c:v>
                      </c:pt>
                      <c:pt idx="45">
                        <c:v>0.45</c:v>
                      </c:pt>
                      <c:pt idx="46">
                        <c:v>0.28999999999999998</c:v>
                      </c:pt>
                      <c:pt idx="47">
                        <c:v>0.43</c:v>
                      </c:pt>
                      <c:pt idx="48">
                        <c:v>0.43</c:v>
                      </c:pt>
                      <c:pt idx="49">
                        <c:v>0.47</c:v>
                      </c:pt>
                      <c:pt idx="50">
                        <c:v>0.47</c:v>
                      </c:pt>
                      <c:pt idx="51">
                        <c:v>0.46</c:v>
                      </c:pt>
                      <c:pt idx="52">
                        <c:v>0.49</c:v>
                      </c:pt>
                      <c:pt idx="53">
                        <c:v>0.49</c:v>
                      </c:pt>
                      <c:pt idx="54">
                        <c:v>0.21</c:v>
                      </c:pt>
                      <c:pt idx="55">
                        <c:v>0.5</c:v>
                      </c:pt>
                    </c:numCache>
                  </c:numRef>
                </c:val>
                <c:smooth val="0"/>
                <c:extLst xmlns:c15="http://schemas.microsoft.com/office/drawing/2012/chart">
                  <c:ext xmlns:c16="http://schemas.microsoft.com/office/drawing/2014/chart" uri="{C3380CC4-5D6E-409C-BE32-E72D297353CC}">
                    <c16:uniqueId val="{00000005-4CA0-45A3-9069-50754D98E9C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Excel_jumia_dataset!$F$1</c15:sqref>
                        </c15:formulaRef>
                      </c:ext>
                    </c:extLst>
                    <c:strCache>
                      <c:ptCount val="1"/>
                      <c:pt idx="0">
                        <c:v>Review</c:v>
                      </c:pt>
                    </c:strCache>
                  </c:strRef>
                </c:tx>
                <c:spPr>
                  <a:ln w="28575" cap="rnd">
                    <a:solidFill>
                      <a:schemeClr val="accent5">
                        <a:shade val="93000"/>
                      </a:schemeClr>
                    </a:solidFill>
                    <a:round/>
                  </a:ln>
                  <a:effectLst/>
                </c:spPr>
                <c:marker>
                  <c:symbol val="circle"/>
                  <c:size val="5"/>
                  <c:spPr>
                    <a:solidFill>
                      <a:schemeClr val="accent5">
                        <a:shade val="93000"/>
                      </a:schemeClr>
                    </a:solidFill>
                    <a:ln w="9525">
                      <a:solidFill>
                        <a:schemeClr val="accent5">
                          <a:shade val="93000"/>
                        </a:schemeClr>
                      </a:solidFill>
                    </a:ln>
                    <a:effectLst/>
                  </c:spPr>
                </c:marker>
                <c:val>
                  <c:numRef>
                    <c:extLst xmlns:c15="http://schemas.microsoft.com/office/drawing/2012/chart">
                      <c:ext xmlns:c15="http://schemas.microsoft.com/office/drawing/2012/chart" uri="{02D57815-91ED-43cb-92C2-25804820EDAC}">
                        <c15:formulaRef>
                          <c15:sqref>Excel_jumia_dataset!$F$2:$F$57</c15:sqref>
                        </c15:formulaRef>
                      </c:ext>
                    </c:extLst>
                    <c:numCache>
                      <c:formatCode>General</c:formatCode>
                      <c:ptCount val="56"/>
                      <c:pt idx="0">
                        <c:v>-2</c:v>
                      </c:pt>
                      <c:pt idx="1">
                        <c:v>-14</c:v>
                      </c:pt>
                      <c:pt idx="2">
                        <c:v>-24</c:v>
                      </c:pt>
                      <c:pt idx="3">
                        <c:v>-7</c:v>
                      </c:pt>
                      <c:pt idx="4">
                        <c:v>-5</c:v>
                      </c:pt>
                      <c:pt idx="5">
                        <c:v>-15</c:v>
                      </c:pt>
                      <c:pt idx="6">
                        <c:v>-55</c:v>
                      </c:pt>
                      <c:pt idx="7">
                        <c:v>-2</c:v>
                      </c:pt>
                      <c:pt idx="8">
                        <c:v>-5</c:v>
                      </c:pt>
                      <c:pt idx="9">
                        <c:v>-5</c:v>
                      </c:pt>
                      <c:pt idx="10">
                        <c:v>-12</c:v>
                      </c:pt>
                      <c:pt idx="11">
                        <c:v>-12</c:v>
                      </c:pt>
                      <c:pt idx="12">
                        <c:v>-6</c:v>
                      </c:pt>
                      <c:pt idx="13">
                        <c:v>-9</c:v>
                      </c:pt>
                      <c:pt idx="14">
                        <c:v>-2</c:v>
                      </c:pt>
                      <c:pt idx="15">
                        <c:v>-2</c:v>
                      </c:pt>
                      <c:pt idx="16">
                        <c:v>-3</c:v>
                      </c:pt>
                      <c:pt idx="17">
                        <c:v>-5</c:v>
                      </c:pt>
                      <c:pt idx="18">
                        <c:v>-44</c:v>
                      </c:pt>
                      <c:pt idx="19">
                        <c:v>-13</c:v>
                      </c:pt>
                      <c:pt idx="20">
                        <c:v>-6</c:v>
                      </c:pt>
                      <c:pt idx="21">
                        <c:v>-14</c:v>
                      </c:pt>
                      <c:pt idx="22">
                        <c:v>-7</c:v>
                      </c:pt>
                      <c:pt idx="23">
                        <c:v>-49</c:v>
                      </c:pt>
                      <c:pt idx="24">
                        <c:v>-12</c:v>
                      </c:pt>
                      <c:pt idx="25">
                        <c:v>-13</c:v>
                      </c:pt>
                      <c:pt idx="26">
                        <c:v>-20</c:v>
                      </c:pt>
                      <c:pt idx="27">
                        <c:v>-9</c:v>
                      </c:pt>
                      <c:pt idx="28">
                        <c:v>-12</c:v>
                      </c:pt>
                      <c:pt idx="29">
                        <c:v>-9</c:v>
                      </c:pt>
                      <c:pt idx="30">
                        <c:v>-20</c:v>
                      </c:pt>
                      <c:pt idx="31">
                        <c:v>-32</c:v>
                      </c:pt>
                      <c:pt idx="32">
                        <c:v>-1</c:v>
                      </c:pt>
                      <c:pt idx="33">
                        <c:v>-2</c:v>
                      </c:pt>
                      <c:pt idx="34">
                        <c:v>-36</c:v>
                      </c:pt>
                      <c:pt idx="35">
                        <c:v>-2</c:v>
                      </c:pt>
                      <c:pt idx="36">
                        <c:v>-6</c:v>
                      </c:pt>
                      <c:pt idx="37">
                        <c:v>-10</c:v>
                      </c:pt>
                      <c:pt idx="38">
                        <c:v>-13</c:v>
                      </c:pt>
                      <c:pt idx="39">
                        <c:v>-69</c:v>
                      </c:pt>
                      <c:pt idx="40">
                        <c:v>-15</c:v>
                      </c:pt>
                      <c:pt idx="41">
                        <c:v>-16</c:v>
                      </c:pt>
                      <c:pt idx="42">
                        <c:v>-6</c:v>
                      </c:pt>
                      <c:pt idx="43">
                        <c:v>-7</c:v>
                      </c:pt>
                      <c:pt idx="44">
                        <c:v>-5</c:v>
                      </c:pt>
                      <c:pt idx="45">
                        <c:v>-17</c:v>
                      </c:pt>
                      <c:pt idx="46">
                        <c:v>-5</c:v>
                      </c:pt>
                      <c:pt idx="47">
                        <c:v>-6</c:v>
                      </c:pt>
                      <c:pt idx="48">
                        <c:v>-5</c:v>
                      </c:pt>
                      <c:pt idx="49">
                        <c:v>-6</c:v>
                      </c:pt>
                      <c:pt idx="50">
                        <c:v>-7</c:v>
                      </c:pt>
                      <c:pt idx="51">
                        <c:v>-1</c:v>
                      </c:pt>
                      <c:pt idx="52">
                        <c:v>-1</c:v>
                      </c:pt>
                      <c:pt idx="53">
                        <c:v>-1</c:v>
                      </c:pt>
                      <c:pt idx="54">
                        <c:v>-1</c:v>
                      </c:pt>
                      <c:pt idx="55">
                        <c:v>-1</c:v>
                      </c:pt>
                    </c:numCache>
                  </c:numRef>
                </c:val>
                <c:smooth val="0"/>
                <c:extLst xmlns:c15="http://schemas.microsoft.com/office/drawing/2012/chart">
                  <c:ext xmlns:c16="http://schemas.microsoft.com/office/drawing/2014/chart" uri="{C3380CC4-5D6E-409C-BE32-E72D297353CC}">
                    <c16:uniqueId val="{00000006-4CA0-45A3-9069-50754D98E9CA}"/>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Excel_jumia_dataset!$I$1</c15:sqref>
                        </c15:formulaRef>
                      </c:ext>
                    </c:extLst>
                    <c:strCache>
                      <c:ptCount val="1"/>
                      <c:pt idx="0">
                        <c:v>absolute discount amount</c:v>
                      </c:pt>
                    </c:strCache>
                  </c:strRef>
                </c:tx>
                <c:spPr>
                  <a:ln w="28575" cap="rnd">
                    <a:solidFill>
                      <a:schemeClr val="accent5">
                        <a:tint val="69000"/>
                      </a:schemeClr>
                    </a:solidFill>
                    <a:round/>
                  </a:ln>
                  <a:effectLst/>
                </c:spPr>
                <c:marker>
                  <c:symbol val="circle"/>
                  <c:size val="5"/>
                  <c:spPr>
                    <a:solidFill>
                      <a:schemeClr val="accent5">
                        <a:tint val="69000"/>
                      </a:schemeClr>
                    </a:solidFill>
                    <a:ln w="9525">
                      <a:solidFill>
                        <a:schemeClr val="accent5">
                          <a:tint val="69000"/>
                        </a:schemeClr>
                      </a:solidFill>
                    </a:ln>
                    <a:effectLst/>
                  </c:spPr>
                </c:marker>
                <c:val>
                  <c:numRef>
                    <c:extLst xmlns:c15="http://schemas.microsoft.com/office/drawing/2012/chart">
                      <c:ext xmlns:c15="http://schemas.microsoft.com/office/drawing/2012/chart" uri="{02D57815-91ED-43cb-92C2-25804820EDAC}">
                        <c15:formulaRef>
                          <c15:sqref>Excel_jumia_dataset!$I$2:$I$57</c15:sqref>
                        </c15:formulaRef>
                      </c:ext>
                    </c:extLst>
                    <c:numCache>
                      <c:formatCode>General</c:formatCode>
                      <c:ptCount val="56"/>
                      <c:pt idx="0">
                        <c:v>575</c:v>
                      </c:pt>
                      <c:pt idx="1">
                        <c:v>472</c:v>
                      </c:pt>
                      <c:pt idx="2">
                        <c:v>724</c:v>
                      </c:pt>
                      <c:pt idx="3">
                        <c:v>919</c:v>
                      </c:pt>
                      <c:pt idx="4">
                        <c:v>616</c:v>
                      </c:pt>
                      <c:pt idx="5">
                        <c:v>291</c:v>
                      </c:pt>
                      <c:pt idx="6">
                        <c:v>713</c:v>
                      </c:pt>
                      <c:pt idx="7">
                        <c:v>592</c:v>
                      </c:pt>
                      <c:pt idx="8">
                        <c:v>1526</c:v>
                      </c:pt>
                      <c:pt idx="9">
                        <c:v>1329</c:v>
                      </c:pt>
                      <c:pt idx="10">
                        <c:v>200</c:v>
                      </c:pt>
                      <c:pt idx="11">
                        <c:v>483</c:v>
                      </c:pt>
                      <c:pt idx="12">
                        <c:v>359</c:v>
                      </c:pt>
                      <c:pt idx="13">
                        <c:v>819</c:v>
                      </c:pt>
                      <c:pt idx="14">
                        <c:v>352</c:v>
                      </c:pt>
                      <c:pt idx="15">
                        <c:v>165</c:v>
                      </c:pt>
                      <c:pt idx="16">
                        <c:v>1946</c:v>
                      </c:pt>
                      <c:pt idx="17">
                        <c:v>700</c:v>
                      </c:pt>
                      <c:pt idx="18">
                        <c:v>968</c:v>
                      </c:pt>
                      <c:pt idx="19">
                        <c:v>42</c:v>
                      </c:pt>
                      <c:pt idx="20">
                        <c:v>470</c:v>
                      </c:pt>
                      <c:pt idx="21">
                        <c:v>500</c:v>
                      </c:pt>
                      <c:pt idx="22">
                        <c:v>2452</c:v>
                      </c:pt>
                      <c:pt idx="23">
                        <c:v>227</c:v>
                      </c:pt>
                      <c:pt idx="24">
                        <c:v>640</c:v>
                      </c:pt>
                      <c:pt idx="25">
                        <c:v>640</c:v>
                      </c:pt>
                      <c:pt idx="26">
                        <c:v>741</c:v>
                      </c:pt>
                      <c:pt idx="27">
                        <c:v>197</c:v>
                      </c:pt>
                      <c:pt idx="28">
                        <c:v>510</c:v>
                      </c:pt>
                      <c:pt idx="29">
                        <c:v>1670</c:v>
                      </c:pt>
                      <c:pt idx="30">
                        <c:v>710</c:v>
                      </c:pt>
                      <c:pt idx="31">
                        <c:v>719</c:v>
                      </c:pt>
                      <c:pt idx="32">
                        <c:v>1070</c:v>
                      </c:pt>
                      <c:pt idx="33">
                        <c:v>189</c:v>
                      </c:pt>
                      <c:pt idx="34">
                        <c:v>267</c:v>
                      </c:pt>
                      <c:pt idx="35">
                        <c:v>900</c:v>
                      </c:pt>
                      <c:pt idx="36">
                        <c:v>330</c:v>
                      </c:pt>
                      <c:pt idx="37">
                        <c:v>528</c:v>
                      </c:pt>
                      <c:pt idx="38">
                        <c:v>2585</c:v>
                      </c:pt>
                      <c:pt idx="39">
                        <c:v>428</c:v>
                      </c:pt>
                      <c:pt idx="40">
                        <c:v>355</c:v>
                      </c:pt>
                      <c:pt idx="41">
                        <c:v>335</c:v>
                      </c:pt>
                      <c:pt idx="42">
                        <c:v>824</c:v>
                      </c:pt>
                      <c:pt idx="43">
                        <c:v>1000</c:v>
                      </c:pt>
                      <c:pt idx="44">
                        <c:v>2393</c:v>
                      </c:pt>
                      <c:pt idx="45">
                        <c:v>318</c:v>
                      </c:pt>
                      <c:pt idx="46">
                        <c:v>940</c:v>
                      </c:pt>
                      <c:pt idx="47">
                        <c:v>257</c:v>
                      </c:pt>
                      <c:pt idx="48">
                        <c:v>390</c:v>
                      </c:pt>
                      <c:pt idx="49">
                        <c:v>846</c:v>
                      </c:pt>
                      <c:pt idx="50">
                        <c:v>1418</c:v>
                      </c:pt>
                      <c:pt idx="51">
                        <c:v>1010</c:v>
                      </c:pt>
                      <c:pt idx="52">
                        <c:v>941</c:v>
                      </c:pt>
                      <c:pt idx="53">
                        <c:v>317</c:v>
                      </c:pt>
                      <c:pt idx="54">
                        <c:v>948</c:v>
                      </c:pt>
                      <c:pt idx="55">
                        <c:v>450</c:v>
                      </c:pt>
                    </c:numCache>
                  </c:numRef>
                </c:val>
                <c:smooth val="0"/>
                <c:extLst xmlns:c15="http://schemas.microsoft.com/office/drawing/2012/chart">
                  <c:ext xmlns:c16="http://schemas.microsoft.com/office/drawing/2014/chart" uri="{C3380CC4-5D6E-409C-BE32-E72D297353CC}">
                    <c16:uniqueId val="{00000007-4CA0-45A3-9069-50754D98E9CA}"/>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Excel_jumia_dataset!$J$1</c15:sqref>
                        </c15:formulaRef>
                      </c:ext>
                    </c:extLst>
                    <c:strCache>
                      <c:ptCount val="1"/>
                      <c:pt idx="0">
                        <c:v>Product Category</c:v>
                      </c:pt>
                    </c:strCache>
                  </c:strRef>
                </c:tx>
                <c:spPr>
                  <a:ln w="28575" cap="rnd">
                    <a:solidFill>
                      <a:schemeClr val="accent5">
                        <a:tint val="56000"/>
                      </a:schemeClr>
                    </a:solidFill>
                    <a:round/>
                  </a:ln>
                  <a:effectLst/>
                </c:spPr>
                <c:marker>
                  <c:symbol val="circle"/>
                  <c:size val="5"/>
                  <c:spPr>
                    <a:solidFill>
                      <a:schemeClr val="accent5">
                        <a:tint val="56000"/>
                      </a:schemeClr>
                    </a:solidFill>
                    <a:ln w="9525">
                      <a:solidFill>
                        <a:schemeClr val="accent5">
                          <a:tint val="56000"/>
                        </a:schemeClr>
                      </a:solidFill>
                    </a:ln>
                    <a:effectLst/>
                  </c:spPr>
                </c:marker>
                <c:val>
                  <c:numRef>
                    <c:extLst xmlns:c15="http://schemas.microsoft.com/office/drawing/2012/chart">
                      <c:ext xmlns:c15="http://schemas.microsoft.com/office/drawing/2012/chart" uri="{02D57815-91ED-43cb-92C2-25804820EDAC}">
                        <c15:formulaRef>
                          <c15:sqref>Excel_jumia_dataset!$J$2:$J$57</c15:sqref>
                        </c15:formulaRef>
                      </c:ext>
                    </c:extLst>
                    <c:numCache>
                      <c:formatCode>General</c:formatCode>
                      <c:ptCount val="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numCache>
                  </c:numRef>
                </c:val>
                <c:smooth val="0"/>
                <c:extLst xmlns:c15="http://schemas.microsoft.com/office/drawing/2012/chart">
                  <c:ext xmlns:c16="http://schemas.microsoft.com/office/drawing/2014/chart" uri="{C3380CC4-5D6E-409C-BE32-E72D297353CC}">
                    <c16:uniqueId val="{00000008-4CA0-45A3-9069-50754D98E9CA}"/>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Excel_jumia_dataset!$K$1</c15:sqref>
                        </c15:formulaRef>
                      </c:ext>
                    </c:extLst>
                    <c:strCache>
                      <c:ptCount val="1"/>
                      <c:pt idx="0">
                        <c:v>Discount Category</c:v>
                      </c:pt>
                    </c:strCache>
                  </c:strRef>
                </c:tx>
                <c:spPr>
                  <a:ln w="28575" cap="rnd">
                    <a:solidFill>
                      <a:schemeClr val="accent5">
                        <a:tint val="43000"/>
                      </a:schemeClr>
                    </a:solidFill>
                    <a:round/>
                  </a:ln>
                  <a:effectLst/>
                </c:spPr>
                <c:marker>
                  <c:symbol val="circle"/>
                  <c:size val="5"/>
                  <c:spPr>
                    <a:solidFill>
                      <a:schemeClr val="accent5">
                        <a:tint val="43000"/>
                      </a:schemeClr>
                    </a:solidFill>
                    <a:ln w="9525">
                      <a:solidFill>
                        <a:schemeClr val="accent5">
                          <a:tint val="43000"/>
                        </a:schemeClr>
                      </a:solidFill>
                    </a:ln>
                    <a:effectLst/>
                  </c:spPr>
                </c:marker>
                <c:val>
                  <c:numRef>
                    <c:extLst xmlns:c15="http://schemas.microsoft.com/office/drawing/2012/chart">
                      <c:ext xmlns:c15="http://schemas.microsoft.com/office/drawing/2012/chart" uri="{02D57815-91ED-43cb-92C2-25804820EDAC}">
                        <c15:formulaRef>
                          <c15:sqref>Excel_jumia_dataset!$K$2:$K$57</c15:sqref>
                        </c15:formulaRef>
                      </c:ext>
                    </c:extLst>
                    <c:numCache>
                      <c:formatCode>General</c:formatCode>
                      <c:ptCount val="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numCache>
                  </c:numRef>
                </c:val>
                <c:smooth val="0"/>
                <c:extLst xmlns:c15="http://schemas.microsoft.com/office/drawing/2012/chart">
                  <c:ext xmlns:c16="http://schemas.microsoft.com/office/drawing/2014/chart" uri="{C3380CC4-5D6E-409C-BE32-E72D297353CC}">
                    <c16:uniqueId val="{00000009-4CA0-45A3-9069-50754D98E9CA}"/>
                  </c:ext>
                </c:extLst>
              </c15:ser>
            </c15:filteredLineSeries>
          </c:ext>
        </c:extLst>
      </c:lineChart>
      <c:lineChart>
        <c:grouping val="standard"/>
        <c:varyColors val="0"/>
        <c:ser>
          <c:idx val="6"/>
          <c:order val="6"/>
          <c:tx>
            <c:strRef>
              <c:f>Excel_jumia_dataset!$H$1</c:f>
              <c:strCache>
                <c:ptCount val="1"/>
                <c:pt idx="0">
                  <c:v>Ratingd</c:v>
                </c:pt>
              </c:strCache>
            </c:strRef>
          </c:tx>
          <c:spPr>
            <a:ln w="28575" cap="rnd">
              <a:solidFill>
                <a:schemeClr val="accent5">
                  <a:tint val="81000"/>
                </a:schemeClr>
              </a:solidFill>
              <a:round/>
            </a:ln>
            <a:effectLst/>
          </c:spPr>
          <c:marker>
            <c:symbol val="none"/>
          </c:marker>
          <c:val>
            <c:numRef>
              <c:f>Excel_jumia_dataset!$H$2:$H$57</c:f>
              <c:numCache>
                <c:formatCode>General</c:formatCode>
                <c:ptCount val="5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4.8</c:v>
                </c:pt>
                <c:pt idx="12">
                  <c:v>4.5</c:v>
                </c:pt>
                <c:pt idx="13">
                  <c:v>4.2</c:v>
                </c:pt>
                <c:pt idx="14">
                  <c:v>5</c:v>
                </c:pt>
                <c:pt idx="15">
                  <c:v>5</c:v>
                </c:pt>
                <c:pt idx="16">
                  <c:v>5</c:v>
                </c:pt>
                <c:pt idx="17">
                  <c:v>4.5999999999999996</c:v>
                </c:pt>
                <c:pt idx="18">
                  <c:v>4.5999999999999996</c:v>
                </c:pt>
                <c:pt idx="19">
                  <c:v>3.3</c:v>
                </c:pt>
                <c:pt idx="20">
                  <c:v>4</c:v>
                </c:pt>
                <c:pt idx="21">
                  <c:v>4.4000000000000004</c:v>
                </c:pt>
                <c:pt idx="22">
                  <c:v>4.3</c:v>
                </c:pt>
                <c:pt idx="23">
                  <c:v>4.5999999999999996</c:v>
                </c:pt>
                <c:pt idx="24">
                  <c:v>3.8</c:v>
                </c:pt>
                <c:pt idx="25">
                  <c:v>3.8</c:v>
                </c:pt>
                <c:pt idx="26">
                  <c:v>4.0999999999999996</c:v>
                </c:pt>
                <c:pt idx="27">
                  <c:v>4.3</c:v>
                </c:pt>
                <c:pt idx="28">
                  <c:v>4.7</c:v>
                </c:pt>
                <c:pt idx="29">
                  <c:v>4.3</c:v>
                </c:pt>
                <c:pt idx="30">
                  <c:v>4.7</c:v>
                </c:pt>
                <c:pt idx="31">
                  <c:v>4.5</c:v>
                </c:pt>
                <c:pt idx="32">
                  <c:v>5</c:v>
                </c:pt>
                <c:pt idx="33">
                  <c:v>5</c:v>
                </c:pt>
                <c:pt idx="34">
                  <c:v>4.3</c:v>
                </c:pt>
                <c:pt idx="35">
                  <c:v>4.5</c:v>
                </c:pt>
                <c:pt idx="36">
                  <c:v>2.5</c:v>
                </c:pt>
                <c:pt idx="37">
                  <c:v>3</c:v>
                </c:pt>
                <c:pt idx="38">
                  <c:v>2.1</c:v>
                </c:pt>
                <c:pt idx="39">
                  <c:v>2.8</c:v>
                </c:pt>
                <c:pt idx="40">
                  <c:v>2.7</c:v>
                </c:pt>
                <c:pt idx="41">
                  <c:v>2.9</c:v>
                </c:pt>
                <c:pt idx="42">
                  <c:v>2.2000000000000002</c:v>
                </c:pt>
                <c:pt idx="43">
                  <c:v>2.2999999999999998</c:v>
                </c:pt>
                <c:pt idx="44">
                  <c:v>3</c:v>
                </c:pt>
                <c:pt idx="45">
                  <c:v>2.6</c:v>
                </c:pt>
                <c:pt idx="46">
                  <c:v>3</c:v>
                </c:pt>
                <c:pt idx="47">
                  <c:v>2.2999999999999998</c:v>
                </c:pt>
                <c:pt idx="48">
                  <c:v>3</c:v>
                </c:pt>
                <c:pt idx="49">
                  <c:v>2.2000000000000002</c:v>
                </c:pt>
                <c:pt idx="50">
                  <c:v>2.1</c:v>
                </c:pt>
                <c:pt idx="51">
                  <c:v>3</c:v>
                </c:pt>
                <c:pt idx="52">
                  <c:v>5</c:v>
                </c:pt>
                <c:pt idx="53">
                  <c:v>4</c:v>
                </c:pt>
                <c:pt idx="54">
                  <c:v>5</c:v>
                </c:pt>
                <c:pt idx="55">
                  <c:v>2</c:v>
                </c:pt>
              </c:numCache>
            </c:numRef>
          </c:val>
          <c:smooth val="0"/>
          <c:extLst>
            <c:ext xmlns:c16="http://schemas.microsoft.com/office/drawing/2014/chart" uri="{C3380CC4-5D6E-409C-BE32-E72D297353CC}">
              <c16:uniqueId val="{00000001-4CA0-45A3-9069-50754D98E9CA}"/>
            </c:ext>
          </c:extLst>
        </c:ser>
        <c:dLbls>
          <c:showLegendKey val="0"/>
          <c:showVal val="0"/>
          <c:showCatName val="0"/>
          <c:showSerName val="0"/>
          <c:showPercent val="0"/>
          <c:showBubbleSize val="0"/>
        </c:dLbls>
        <c:marker val="1"/>
        <c:smooth val="0"/>
        <c:axId val="1648278687"/>
        <c:axId val="1648283967"/>
      </c:lineChart>
      <c:catAx>
        <c:axId val="146099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82639"/>
        <c:crosses val="autoZero"/>
        <c:auto val="1"/>
        <c:lblAlgn val="ctr"/>
        <c:lblOffset val="100"/>
        <c:noMultiLvlLbl val="0"/>
      </c:catAx>
      <c:valAx>
        <c:axId val="146098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90319"/>
        <c:crosses val="autoZero"/>
        <c:crossBetween val="between"/>
      </c:valAx>
      <c:valAx>
        <c:axId val="164828396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78687"/>
        <c:crosses val="max"/>
        <c:crossBetween val="between"/>
      </c:valAx>
      <c:catAx>
        <c:axId val="1648278687"/>
        <c:scaling>
          <c:orientation val="minMax"/>
        </c:scaling>
        <c:delete val="1"/>
        <c:axPos val="b"/>
        <c:majorTickMark val="none"/>
        <c:minorTickMark val="none"/>
        <c:tickLblPos val="nextTo"/>
        <c:crossAx val="1648283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
            </a:r>
            <a:r>
              <a:rPr lang="en-KE" sz="1400" b="0" i="0" u="none" strike="noStrike" baseline="0"/>
              <a:t>elationship between discount percentage and number of reviews</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Excel_jumia_dataset!$D$1</c:f>
              <c:strCache>
                <c:ptCount val="1"/>
                <c:pt idx="0">
                  <c:v>Discount</c:v>
                </c:pt>
              </c:strCache>
              <c:extLst xmlns:c15="http://schemas.microsoft.com/office/drawing/2012/chart"/>
            </c:strRef>
          </c:tx>
          <c:spPr>
            <a:ln w="28575" cap="rnd">
              <a:solidFill>
                <a:schemeClr val="accent5">
                  <a:shade val="72000"/>
                </a:schemeClr>
              </a:solidFill>
              <a:round/>
            </a:ln>
            <a:effectLst/>
          </c:spPr>
          <c:marker>
            <c:symbol val="circle"/>
            <c:size val="5"/>
            <c:spPr>
              <a:solidFill>
                <a:schemeClr val="accent5">
                  <a:shade val="72000"/>
                </a:schemeClr>
              </a:solidFill>
              <a:ln w="9525">
                <a:solidFill>
                  <a:schemeClr val="accent5">
                    <a:shade val="72000"/>
                  </a:schemeClr>
                </a:solidFill>
              </a:ln>
              <a:effectLst/>
            </c:spPr>
          </c:marker>
          <c:val>
            <c:numRef>
              <c:f>Excel_jumia_dataset!$D$2:$D$57</c:f>
              <c:numCache>
                <c:formatCode>0%</c:formatCode>
                <c:ptCount val="56"/>
                <c:pt idx="0">
                  <c:v>0.38</c:v>
                </c:pt>
                <c:pt idx="1">
                  <c:v>0.47</c:v>
                </c:pt>
                <c:pt idx="2">
                  <c:v>0.25</c:v>
                </c:pt>
                <c:pt idx="3">
                  <c:v>0.37</c:v>
                </c:pt>
                <c:pt idx="4">
                  <c:v>0.26</c:v>
                </c:pt>
                <c:pt idx="5">
                  <c:v>0.09</c:v>
                </c:pt>
                <c:pt idx="6">
                  <c:v>0.24</c:v>
                </c:pt>
                <c:pt idx="7">
                  <c:v>0.37</c:v>
                </c:pt>
                <c:pt idx="8">
                  <c:v>0.55000000000000004</c:v>
                </c:pt>
                <c:pt idx="9">
                  <c:v>0.45</c:v>
                </c:pt>
                <c:pt idx="10">
                  <c:v>0.2</c:v>
                </c:pt>
                <c:pt idx="11">
                  <c:v>0.47</c:v>
                </c:pt>
                <c:pt idx="12">
                  <c:v>0.42</c:v>
                </c:pt>
                <c:pt idx="13">
                  <c:v>0.33</c:v>
                </c:pt>
                <c:pt idx="14">
                  <c:v>0.51</c:v>
                </c:pt>
                <c:pt idx="15">
                  <c:v>0.46</c:v>
                </c:pt>
                <c:pt idx="16">
                  <c:v>0.49</c:v>
                </c:pt>
                <c:pt idx="17">
                  <c:v>0.19</c:v>
                </c:pt>
                <c:pt idx="18">
                  <c:v>0.49</c:v>
                </c:pt>
                <c:pt idx="19">
                  <c:v>0.53</c:v>
                </c:pt>
                <c:pt idx="20">
                  <c:v>0.35</c:v>
                </c:pt>
                <c:pt idx="21">
                  <c:v>0.23</c:v>
                </c:pt>
                <c:pt idx="22">
                  <c:v>0.54</c:v>
                </c:pt>
                <c:pt idx="23">
                  <c:v>0.35</c:v>
                </c:pt>
                <c:pt idx="24">
                  <c:v>0.18</c:v>
                </c:pt>
                <c:pt idx="25">
                  <c:v>0.32</c:v>
                </c:pt>
                <c:pt idx="26">
                  <c:v>0.3</c:v>
                </c:pt>
                <c:pt idx="27">
                  <c:v>0.52</c:v>
                </c:pt>
                <c:pt idx="28">
                  <c:v>0.34</c:v>
                </c:pt>
                <c:pt idx="29">
                  <c:v>0.48</c:v>
                </c:pt>
                <c:pt idx="30">
                  <c:v>0.27</c:v>
                </c:pt>
                <c:pt idx="31">
                  <c:v>0.27</c:v>
                </c:pt>
                <c:pt idx="32">
                  <c:v>0.4</c:v>
                </c:pt>
                <c:pt idx="33">
                  <c:v>0.53</c:v>
                </c:pt>
                <c:pt idx="34">
                  <c:v>0.41</c:v>
                </c:pt>
                <c:pt idx="35">
                  <c:v>0.38</c:v>
                </c:pt>
                <c:pt idx="36">
                  <c:v>0.13</c:v>
                </c:pt>
                <c:pt idx="37">
                  <c:v>0.54</c:v>
                </c:pt>
                <c:pt idx="38">
                  <c:v>0.55000000000000004</c:v>
                </c:pt>
                <c:pt idx="39">
                  <c:v>0.49</c:v>
                </c:pt>
                <c:pt idx="40">
                  <c:v>0.52</c:v>
                </c:pt>
                <c:pt idx="41">
                  <c:v>0.22</c:v>
                </c:pt>
                <c:pt idx="42">
                  <c:v>0.45</c:v>
                </c:pt>
                <c:pt idx="43">
                  <c:v>0.5</c:v>
                </c:pt>
                <c:pt idx="44">
                  <c:v>0.39</c:v>
                </c:pt>
                <c:pt idx="45">
                  <c:v>0.45</c:v>
                </c:pt>
                <c:pt idx="46">
                  <c:v>0.28999999999999998</c:v>
                </c:pt>
                <c:pt idx="47">
                  <c:v>0.43</c:v>
                </c:pt>
                <c:pt idx="48">
                  <c:v>0.43</c:v>
                </c:pt>
                <c:pt idx="49">
                  <c:v>0.47</c:v>
                </c:pt>
                <c:pt idx="50">
                  <c:v>0.47</c:v>
                </c:pt>
                <c:pt idx="51">
                  <c:v>0.46</c:v>
                </c:pt>
                <c:pt idx="52">
                  <c:v>0.49</c:v>
                </c:pt>
                <c:pt idx="53">
                  <c:v>0.49</c:v>
                </c:pt>
                <c:pt idx="54">
                  <c:v>0.21</c:v>
                </c:pt>
                <c:pt idx="55">
                  <c:v>0.5</c:v>
                </c:pt>
              </c:numCache>
              <c:extLst xmlns:c15="http://schemas.microsoft.com/office/drawing/2012/chart"/>
            </c:numRef>
          </c:val>
          <c:smooth val="0"/>
          <c:extLst>
            <c:ext xmlns:c16="http://schemas.microsoft.com/office/drawing/2014/chart" uri="{C3380CC4-5D6E-409C-BE32-E72D297353CC}">
              <c16:uniqueId val="{00000004-EFCF-4B13-867E-9ED284ED1689}"/>
            </c:ext>
          </c:extLst>
        </c:ser>
        <c:dLbls>
          <c:showLegendKey val="0"/>
          <c:showVal val="0"/>
          <c:showCatName val="0"/>
          <c:showSerName val="0"/>
          <c:showPercent val="0"/>
          <c:showBubbleSize val="0"/>
        </c:dLbls>
        <c:marker val="1"/>
        <c:smooth val="0"/>
        <c:axId val="1452941807"/>
        <c:axId val="1452936527"/>
        <c:extLst>
          <c:ext xmlns:c15="http://schemas.microsoft.com/office/drawing/2012/chart" uri="{02D57815-91ED-43cb-92C2-25804820EDAC}">
            <c15:filteredLineSeries>
              <c15:ser>
                <c:idx val="0"/>
                <c:order val="0"/>
                <c:tx>
                  <c:strRef>
                    <c:extLst>
                      <c:ext uri="{02D57815-91ED-43cb-92C2-25804820EDAC}">
                        <c15:formulaRef>
                          <c15:sqref>Excel_jumia_dataset!$B$1</c15:sqref>
                        </c15:formulaRef>
                      </c:ext>
                    </c:extLst>
                    <c:strCache>
                      <c:ptCount val="1"/>
                      <c:pt idx="0">
                        <c:v>Current price</c:v>
                      </c:pt>
                    </c:strCache>
                  </c:strRef>
                </c:tx>
                <c:spPr>
                  <a:ln w="28575" cap="rnd">
                    <a:solidFill>
                      <a:schemeClr val="accent5">
                        <a:shade val="44000"/>
                      </a:schemeClr>
                    </a:solidFill>
                    <a:round/>
                  </a:ln>
                  <a:effectLst/>
                </c:spPr>
                <c:marker>
                  <c:symbol val="circle"/>
                  <c:size val="5"/>
                  <c:spPr>
                    <a:solidFill>
                      <a:schemeClr val="accent5">
                        <a:shade val="44000"/>
                      </a:schemeClr>
                    </a:solidFill>
                    <a:ln w="9525">
                      <a:solidFill>
                        <a:schemeClr val="accent5">
                          <a:shade val="44000"/>
                        </a:schemeClr>
                      </a:solidFill>
                    </a:ln>
                    <a:effectLst/>
                  </c:spPr>
                </c:marker>
                <c:val>
                  <c:numRef>
                    <c:extLst>
                      <c:ext uri="{02D57815-91ED-43cb-92C2-25804820EDAC}">
                        <c15:formulaRef>
                          <c15:sqref>Excel_jumia_dataset!$B$2:$B$57</c15:sqref>
                        </c15:formulaRef>
                      </c:ext>
                    </c:extLst>
                    <c:numCache>
                      <c:formatCode>_(* #,##0.00_);_(* \(#,##0.00\);_(* "-"??_);_(@_)</c:formatCode>
                      <c:ptCount val="56"/>
                      <c:pt idx="0">
                        <c:v>950</c:v>
                      </c:pt>
                      <c:pt idx="1">
                        <c:v>527</c:v>
                      </c:pt>
                      <c:pt idx="2">
                        <c:v>2199</c:v>
                      </c:pt>
                      <c:pt idx="3">
                        <c:v>1580</c:v>
                      </c:pt>
                      <c:pt idx="4">
                        <c:v>1740</c:v>
                      </c:pt>
                      <c:pt idx="5">
                        <c:v>2999</c:v>
                      </c:pt>
                      <c:pt idx="6">
                        <c:v>2319</c:v>
                      </c:pt>
                      <c:pt idx="7">
                        <c:v>988</c:v>
                      </c:pt>
                      <c:pt idx="8">
                        <c:v>1274</c:v>
                      </c:pt>
                      <c:pt idx="9">
                        <c:v>1600</c:v>
                      </c:pt>
                      <c:pt idx="10">
                        <c:v>799</c:v>
                      </c:pt>
                      <c:pt idx="11">
                        <c:v>552</c:v>
                      </c:pt>
                      <c:pt idx="12">
                        <c:v>501</c:v>
                      </c:pt>
                      <c:pt idx="13">
                        <c:v>1680</c:v>
                      </c:pt>
                      <c:pt idx="14">
                        <c:v>332</c:v>
                      </c:pt>
                      <c:pt idx="15">
                        <c:v>195</c:v>
                      </c:pt>
                      <c:pt idx="16">
                        <c:v>2025</c:v>
                      </c:pt>
                      <c:pt idx="17">
                        <c:v>2999</c:v>
                      </c:pt>
                      <c:pt idx="18">
                        <c:v>998</c:v>
                      </c:pt>
                      <c:pt idx="19">
                        <c:v>38</c:v>
                      </c:pt>
                      <c:pt idx="20">
                        <c:v>880</c:v>
                      </c:pt>
                      <c:pt idx="21">
                        <c:v>1650</c:v>
                      </c:pt>
                      <c:pt idx="22">
                        <c:v>2048</c:v>
                      </c:pt>
                      <c:pt idx="23">
                        <c:v>420</c:v>
                      </c:pt>
                      <c:pt idx="24">
                        <c:v>2880</c:v>
                      </c:pt>
                      <c:pt idx="25">
                        <c:v>1350</c:v>
                      </c:pt>
                      <c:pt idx="26">
                        <c:v>1758</c:v>
                      </c:pt>
                      <c:pt idx="27">
                        <c:v>185</c:v>
                      </c:pt>
                      <c:pt idx="28">
                        <c:v>980</c:v>
                      </c:pt>
                      <c:pt idx="29">
                        <c:v>1820</c:v>
                      </c:pt>
                      <c:pt idx="30">
                        <c:v>1940</c:v>
                      </c:pt>
                      <c:pt idx="31">
                        <c:v>1980</c:v>
                      </c:pt>
                      <c:pt idx="32">
                        <c:v>1620</c:v>
                      </c:pt>
                      <c:pt idx="33">
                        <c:v>171</c:v>
                      </c:pt>
                      <c:pt idx="34">
                        <c:v>389</c:v>
                      </c:pt>
                      <c:pt idx="35">
                        <c:v>1800</c:v>
                      </c:pt>
                      <c:pt idx="36">
                        <c:v>2170</c:v>
                      </c:pt>
                      <c:pt idx="37">
                        <c:v>458</c:v>
                      </c:pt>
                      <c:pt idx="38">
                        <c:v>2115</c:v>
                      </c:pt>
                      <c:pt idx="39">
                        <c:v>445</c:v>
                      </c:pt>
                      <c:pt idx="40">
                        <c:v>325</c:v>
                      </c:pt>
                      <c:pt idx="41">
                        <c:v>1220</c:v>
                      </c:pt>
                      <c:pt idx="42">
                        <c:v>990</c:v>
                      </c:pt>
                      <c:pt idx="43">
                        <c:v>1000</c:v>
                      </c:pt>
                      <c:pt idx="44">
                        <c:v>3750</c:v>
                      </c:pt>
                      <c:pt idx="45">
                        <c:v>382</c:v>
                      </c:pt>
                      <c:pt idx="46">
                        <c:v>2300</c:v>
                      </c:pt>
                      <c:pt idx="47">
                        <c:v>345</c:v>
                      </c:pt>
                      <c:pt idx="48">
                        <c:v>509</c:v>
                      </c:pt>
                      <c:pt idx="49">
                        <c:v>968</c:v>
                      </c:pt>
                      <c:pt idx="50">
                        <c:v>1570</c:v>
                      </c:pt>
                      <c:pt idx="51">
                        <c:v>1189</c:v>
                      </c:pt>
                      <c:pt idx="52">
                        <c:v>979</c:v>
                      </c:pt>
                      <c:pt idx="53">
                        <c:v>330</c:v>
                      </c:pt>
                      <c:pt idx="54">
                        <c:v>3640</c:v>
                      </c:pt>
                      <c:pt idx="55">
                        <c:v>450</c:v>
                      </c:pt>
                    </c:numCache>
                  </c:numRef>
                </c:val>
                <c:smooth val="0"/>
                <c:extLst>
                  <c:ext xmlns:c16="http://schemas.microsoft.com/office/drawing/2014/chart" uri="{C3380CC4-5D6E-409C-BE32-E72D297353CC}">
                    <c16:uniqueId val="{00000002-EFCF-4B13-867E-9ED284ED168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Excel_jumia_dataset!$C$1</c15:sqref>
                        </c15:formulaRef>
                      </c:ext>
                    </c:extLst>
                    <c:strCache>
                      <c:ptCount val="1"/>
                      <c:pt idx="0">
                        <c:v> old price </c:v>
                      </c:pt>
                    </c:strCache>
                  </c:strRef>
                </c:tx>
                <c:spPr>
                  <a:ln w="28575" cap="rnd">
                    <a:solidFill>
                      <a:schemeClr val="accent5">
                        <a:shade val="58000"/>
                      </a:schemeClr>
                    </a:solidFill>
                    <a:round/>
                  </a:ln>
                  <a:effectLst/>
                </c:spPr>
                <c:marker>
                  <c:symbol val="circle"/>
                  <c:size val="5"/>
                  <c:spPr>
                    <a:solidFill>
                      <a:schemeClr val="accent5">
                        <a:shade val="58000"/>
                      </a:schemeClr>
                    </a:solidFill>
                    <a:ln w="9525">
                      <a:solidFill>
                        <a:schemeClr val="accent5">
                          <a:shade val="58000"/>
                        </a:schemeClr>
                      </a:solidFill>
                    </a:ln>
                    <a:effectLst/>
                  </c:spPr>
                </c:marker>
                <c:val>
                  <c:numRef>
                    <c:extLst xmlns:c15="http://schemas.microsoft.com/office/drawing/2012/chart">
                      <c:ext xmlns:c15="http://schemas.microsoft.com/office/drawing/2012/chart" uri="{02D57815-91ED-43cb-92C2-25804820EDAC}">
                        <c15:formulaRef>
                          <c15:sqref>Excel_jumia_dataset!$C$2:$C$57</c15:sqref>
                        </c15:formulaRef>
                      </c:ext>
                    </c:extLst>
                    <c:numCache>
                      <c:formatCode>_(* #,##0.00_);_(* \(#,##0.00\);_(* "-"??_);_(@_)</c:formatCode>
                      <c:ptCount val="56"/>
                      <c:pt idx="0">
                        <c:v>1525</c:v>
                      </c:pt>
                      <c:pt idx="1">
                        <c:v>999</c:v>
                      </c:pt>
                      <c:pt idx="2">
                        <c:v>2923</c:v>
                      </c:pt>
                      <c:pt idx="3">
                        <c:v>2499</c:v>
                      </c:pt>
                      <c:pt idx="4">
                        <c:v>2356</c:v>
                      </c:pt>
                      <c:pt idx="5">
                        <c:v>3290</c:v>
                      </c:pt>
                      <c:pt idx="6">
                        <c:v>3032</c:v>
                      </c:pt>
                      <c:pt idx="7">
                        <c:v>1580</c:v>
                      </c:pt>
                      <c:pt idx="8">
                        <c:v>2800</c:v>
                      </c:pt>
                      <c:pt idx="9">
                        <c:v>2929</c:v>
                      </c:pt>
                      <c:pt idx="10">
                        <c:v>999</c:v>
                      </c:pt>
                      <c:pt idx="11">
                        <c:v>1035</c:v>
                      </c:pt>
                      <c:pt idx="12">
                        <c:v>860</c:v>
                      </c:pt>
                      <c:pt idx="13">
                        <c:v>2499</c:v>
                      </c:pt>
                      <c:pt idx="14">
                        <c:v>684</c:v>
                      </c:pt>
                      <c:pt idx="15">
                        <c:v>360</c:v>
                      </c:pt>
                      <c:pt idx="16">
                        <c:v>3971</c:v>
                      </c:pt>
                      <c:pt idx="17">
                        <c:v>3699</c:v>
                      </c:pt>
                      <c:pt idx="18">
                        <c:v>1966</c:v>
                      </c:pt>
                      <c:pt idx="19">
                        <c:v>80</c:v>
                      </c:pt>
                      <c:pt idx="20">
                        <c:v>1350</c:v>
                      </c:pt>
                      <c:pt idx="21">
                        <c:v>2150</c:v>
                      </c:pt>
                      <c:pt idx="22">
                        <c:v>4500</c:v>
                      </c:pt>
                      <c:pt idx="23">
                        <c:v>647</c:v>
                      </c:pt>
                      <c:pt idx="24">
                        <c:v>3520</c:v>
                      </c:pt>
                      <c:pt idx="25">
                        <c:v>1990</c:v>
                      </c:pt>
                      <c:pt idx="26">
                        <c:v>2499</c:v>
                      </c:pt>
                      <c:pt idx="27">
                        <c:v>382</c:v>
                      </c:pt>
                      <c:pt idx="28">
                        <c:v>1490</c:v>
                      </c:pt>
                      <c:pt idx="29">
                        <c:v>3490</c:v>
                      </c:pt>
                      <c:pt idx="30">
                        <c:v>2650</c:v>
                      </c:pt>
                      <c:pt idx="31">
                        <c:v>2699</c:v>
                      </c:pt>
                      <c:pt idx="32">
                        <c:v>2690</c:v>
                      </c:pt>
                      <c:pt idx="33">
                        <c:v>360</c:v>
                      </c:pt>
                      <c:pt idx="34">
                        <c:v>656</c:v>
                      </c:pt>
                      <c:pt idx="35">
                        <c:v>2700</c:v>
                      </c:pt>
                      <c:pt idx="36">
                        <c:v>2500</c:v>
                      </c:pt>
                      <c:pt idx="37">
                        <c:v>986</c:v>
                      </c:pt>
                      <c:pt idx="38">
                        <c:v>4700</c:v>
                      </c:pt>
                      <c:pt idx="39">
                        <c:v>873</c:v>
                      </c:pt>
                      <c:pt idx="40">
                        <c:v>680</c:v>
                      </c:pt>
                      <c:pt idx="41">
                        <c:v>1555</c:v>
                      </c:pt>
                      <c:pt idx="42">
                        <c:v>1814</c:v>
                      </c:pt>
                      <c:pt idx="43">
                        <c:v>2000</c:v>
                      </c:pt>
                      <c:pt idx="44">
                        <c:v>6143</c:v>
                      </c:pt>
                      <c:pt idx="45">
                        <c:v>700</c:v>
                      </c:pt>
                      <c:pt idx="46">
                        <c:v>3240</c:v>
                      </c:pt>
                      <c:pt idx="47">
                        <c:v>602</c:v>
                      </c:pt>
                      <c:pt idx="48">
                        <c:v>899</c:v>
                      </c:pt>
                      <c:pt idx="49">
                        <c:v>1814</c:v>
                      </c:pt>
                      <c:pt idx="50">
                        <c:v>2988</c:v>
                      </c:pt>
                      <c:pt idx="51">
                        <c:v>2199</c:v>
                      </c:pt>
                      <c:pt idx="52">
                        <c:v>1920</c:v>
                      </c:pt>
                      <c:pt idx="53">
                        <c:v>647</c:v>
                      </c:pt>
                      <c:pt idx="54">
                        <c:v>4588</c:v>
                      </c:pt>
                      <c:pt idx="55">
                        <c:v>900</c:v>
                      </c:pt>
                    </c:numCache>
                  </c:numRef>
                </c:val>
                <c:smooth val="0"/>
                <c:extLst xmlns:c15="http://schemas.microsoft.com/office/drawing/2012/chart">
                  <c:ext xmlns:c16="http://schemas.microsoft.com/office/drawing/2014/chart" uri="{C3380CC4-5D6E-409C-BE32-E72D297353CC}">
                    <c16:uniqueId val="{00000003-EFCF-4B13-867E-9ED284ED168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Excel_jumia_dataset!$E$1</c15:sqref>
                        </c15:formulaRef>
                      </c:ext>
                    </c:extLst>
                    <c:strCache>
                      <c:ptCount val="1"/>
                      <c:pt idx="0">
                        <c:v>Discount </c:v>
                      </c:pt>
                    </c:strCache>
                  </c:strRef>
                </c:tx>
                <c:spPr>
                  <a:ln w="28575" cap="rnd">
                    <a:solidFill>
                      <a:schemeClr val="accent5">
                        <a:shade val="86000"/>
                      </a:schemeClr>
                    </a:solidFill>
                    <a:round/>
                  </a:ln>
                  <a:effectLst/>
                </c:spPr>
                <c:marker>
                  <c:symbol val="circle"/>
                  <c:size val="5"/>
                  <c:spPr>
                    <a:solidFill>
                      <a:schemeClr val="accent5">
                        <a:shade val="86000"/>
                      </a:schemeClr>
                    </a:solidFill>
                    <a:ln w="9525">
                      <a:solidFill>
                        <a:schemeClr val="accent5">
                          <a:shade val="86000"/>
                        </a:schemeClr>
                      </a:solidFill>
                    </a:ln>
                    <a:effectLst/>
                  </c:spPr>
                </c:marker>
                <c:val>
                  <c:numRef>
                    <c:extLst xmlns:c15="http://schemas.microsoft.com/office/drawing/2012/chart">
                      <c:ext xmlns:c15="http://schemas.microsoft.com/office/drawing/2012/chart" uri="{02D57815-91ED-43cb-92C2-25804820EDAC}">
                        <c15:formulaRef>
                          <c15:sqref>Excel_jumia_dataset!$E$2:$E$57</c15:sqref>
                        </c15:formulaRef>
                      </c:ext>
                    </c:extLst>
                    <c:numCache>
                      <c:formatCode>0.00</c:formatCode>
                      <c:ptCount val="56"/>
                      <c:pt idx="0">
                        <c:v>0.38</c:v>
                      </c:pt>
                      <c:pt idx="1">
                        <c:v>0.47</c:v>
                      </c:pt>
                      <c:pt idx="2">
                        <c:v>0.25</c:v>
                      </c:pt>
                      <c:pt idx="3">
                        <c:v>0.37</c:v>
                      </c:pt>
                      <c:pt idx="4">
                        <c:v>0.26</c:v>
                      </c:pt>
                      <c:pt idx="5">
                        <c:v>0.09</c:v>
                      </c:pt>
                      <c:pt idx="6">
                        <c:v>0.24</c:v>
                      </c:pt>
                      <c:pt idx="7">
                        <c:v>0.37</c:v>
                      </c:pt>
                      <c:pt idx="8">
                        <c:v>0.55000000000000004</c:v>
                      </c:pt>
                      <c:pt idx="9">
                        <c:v>0.45</c:v>
                      </c:pt>
                      <c:pt idx="10">
                        <c:v>0.2</c:v>
                      </c:pt>
                      <c:pt idx="11">
                        <c:v>0.47</c:v>
                      </c:pt>
                      <c:pt idx="12">
                        <c:v>0.42</c:v>
                      </c:pt>
                      <c:pt idx="13">
                        <c:v>0.33</c:v>
                      </c:pt>
                      <c:pt idx="14">
                        <c:v>0.51</c:v>
                      </c:pt>
                      <c:pt idx="15">
                        <c:v>0.46</c:v>
                      </c:pt>
                      <c:pt idx="16">
                        <c:v>0.49</c:v>
                      </c:pt>
                      <c:pt idx="17">
                        <c:v>0.19</c:v>
                      </c:pt>
                      <c:pt idx="18">
                        <c:v>0.49</c:v>
                      </c:pt>
                      <c:pt idx="19">
                        <c:v>0.53</c:v>
                      </c:pt>
                      <c:pt idx="20">
                        <c:v>0.35</c:v>
                      </c:pt>
                      <c:pt idx="21">
                        <c:v>0.23</c:v>
                      </c:pt>
                      <c:pt idx="22">
                        <c:v>0.54</c:v>
                      </c:pt>
                      <c:pt idx="23">
                        <c:v>0.35</c:v>
                      </c:pt>
                      <c:pt idx="24">
                        <c:v>0.18</c:v>
                      </c:pt>
                      <c:pt idx="25">
                        <c:v>0.32</c:v>
                      </c:pt>
                      <c:pt idx="26">
                        <c:v>0.3</c:v>
                      </c:pt>
                      <c:pt idx="27">
                        <c:v>0.52</c:v>
                      </c:pt>
                      <c:pt idx="28">
                        <c:v>0.34</c:v>
                      </c:pt>
                      <c:pt idx="29">
                        <c:v>0.48</c:v>
                      </c:pt>
                      <c:pt idx="30">
                        <c:v>0.27</c:v>
                      </c:pt>
                      <c:pt idx="31">
                        <c:v>0.27</c:v>
                      </c:pt>
                      <c:pt idx="32">
                        <c:v>0.4</c:v>
                      </c:pt>
                      <c:pt idx="33">
                        <c:v>0.53</c:v>
                      </c:pt>
                      <c:pt idx="34">
                        <c:v>0.41</c:v>
                      </c:pt>
                      <c:pt idx="35">
                        <c:v>0.38</c:v>
                      </c:pt>
                      <c:pt idx="36">
                        <c:v>0.13</c:v>
                      </c:pt>
                      <c:pt idx="37">
                        <c:v>0.54</c:v>
                      </c:pt>
                      <c:pt idx="38">
                        <c:v>0.55000000000000004</c:v>
                      </c:pt>
                      <c:pt idx="39">
                        <c:v>0.49</c:v>
                      </c:pt>
                      <c:pt idx="40">
                        <c:v>0.52</c:v>
                      </c:pt>
                      <c:pt idx="41">
                        <c:v>0.22</c:v>
                      </c:pt>
                      <c:pt idx="42">
                        <c:v>0.45</c:v>
                      </c:pt>
                      <c:pt idx="43">
                        <c:v>0.5</c:v>
                      </c:pt>
                      <c:pt idx="44">
                        <c:v>0.39</c:v>
                      </c:pt>
                      <c:pt idx="45">
                        <c:v>0.45</c:v>
                      </c:pt>
                      <c:pt idx="46">
                        <c:v>0.28999999999999998</c:v>
                      </c:pt>
                      <c:pt idx="47">
                        <c:v>0.43</c:v>
                      </c:pt>
                      <c:pt idx="48">
                        <c:v>0.43</c:v>
                      </c:pt>
                      <c:pt idx="49">
                        <c:v>0.47</c:v>
                      </c:pt>
                      <c:pt idx="50">
                        <c:v>0.47</c:v>
                      </c:pt>
                      <c:pt idx="51">
                        <c:v>0.46</c:v>
                      </c:pt>
                      <c:pt idx="52">
                        <c:v>0.49</c:v>
                      </c:pt>
                      <c:pt idx="53">
                        <c:v>0.49</c:v>
                      </c:pt>
                      <c:pt idx="54">
                        <c:v>0.21</c:v>
                      </c:pt>
                      <c:pt idx="55">
                        <c:v>0.5</c:v>
                      </c:pt>
                    </c:numCache>
                  </c:numRef>
                </c:val>
                <c:smooth val="0"/>
                <c:extLst xmlns:c15="http://schemas.microsoft.com/office/drawing/2012/chart">
                  <c:ext xmlns:c16="http://schemas.microsoft.com/office/drawing/2014/chart" uri="{C3380CC4-5D6E-409C-BE32-E72D297353CC}">
                    <c16:uniqueId val="{00000000-EFCF-4B13-867E-9ED284ED1689}"/>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Excel_jumia_dataset!$F$1</c15:sqref>
                        </c15:formulaRef>
                      </c:ext>
                    </c:extLst>
                    <c:strCache>
                      <c:ptCount val="1"/>
                      <c:pt idx="0">
                        <c:v>Review</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extLst xmlns:c15="http://schemas.microsoft.com/office/drawing/2012/chart">
                      <c:ext xmlns:c15="http://schemas.microsoft.com/office/drawing/2012/chart" uri="{02D57815-91ED-43cb-92C2-25804820EDAC}">
                        <c15:formulaRef>
                          <c15:sqref>Excel_jumia_dataset!$F$2:$F$57</c15:sqref>
                        </c15:formulaRef>
                      </c:ext>
                    </c:extLst>
                    <c:numCache>
                      <c:formatCode>General</c:formatCode>
                      <c:ptCount val="56"/>
                      <c:pt idx="0">
                        <c:v>-2</c:v>
                      </c:pt>
                      <c:pt idx="1">
                        <c:v>-14</c:v>
                      </c:pt>
                      <c:pt idx="2">
                        <c:v>-24</c:v>
                      </c:pt>
                      <c:pt idx="3">
                        <c:v>-7</c:v>
                      </c:pt>
                      <c:pt idx="4">
                        <c:v>-5</c:v>
                      </c:pt>
                      <c:pt idx="5">
                        <c:v>-15</c:v>
                      </c:pt>
                      <c:pt idx="6">
                        <c:v>-55</c:v>
                      </c:pt>
                      <c:pt idx="7">
                        <c:v>-2</c:v>
                      </c:pt>
                      <c:pt idx="8">
                        <c:v>-5</c:v>
                      </c:pt>
                      <c:pt idx="9">
                        <c:v>-5</c:v>
                      </c:pt>
                      <c:pt idx="10">
                        <c:v>-12</c:v>
                      </c:pt>
                      <c:pt idx="11">
                        <c:v>-12</c:v>
                      </c:pt>
                      <c:pt idx="12">
                        <c:v>-6</c:v>
                      </c:pt>
                      <c:pt idx="13">
                        <c:v>-9</c:v>
                      </c:pt>
                      <c:pt idx="14">
                        <c:v>-2</c:v>
                      </c:pt>
                      <c:pt idx="15">
                        <c:v>-2</c:v>
                      </c:pt>
                      <c:pt idx="16">
                        <c:v>-3</c:v>
                      </c:pt>
                      <c:pt idx="17">
                        <c:v>-5</c:v>
                      </c:pt>
                      <c:pt idx="18">
                        <c:v>-44</c:v>
                      </c:pt>
                      <c:pt idx="19">
                        <c:v>-13</c:v>
                      </c:pt>
                      <c:pt idx="20">
                        <c:v>-6</c:v>
                      </c:pt>
                      <c:pt idx="21">
                        <c:v>-14</c:v>
                      </c:pt>
                      <c:pt idx="22">
                        <c:v>-7</c:v>
                      </c:pt>
                      <c:pt idx="23">
                        <c:v>-49</c:v>
                      </c:pt>
                      <c:pt idx="24">
                        <c:v>-12</c:v>
                      </c:pt>
                      <c:pt idx="25">
                        <c:v>-13</c:v>
                      </c:pt>
                      <c:pt idx="26">
                        <c:v>-20</c:v>
                      </c:pt>
                      <c:pt idx="27">
                        <c:v>-9</c:v>
                      </c:pt>
                      <c:pt idx="28">
                        <c:v>-12</c:v>
                      </c:pt>
                      <c:pt idx="29">
                        <c:v>-9</c:v>
                      </c:pt>
                      <c:pt idx="30">
                        <c:v>-20</c:v>
                      </c:pt>
                      <c:pt idx="31">
                        <c:v>-32</c:v>
                      </c:pt>
                      <c:pt idx="32">
                        <c:v>-1</c:v>
                      </c:pt>
                      <c:pt idx="33">
                        <c:v>-2</c:v>
                      </c:pt>
                      <c:pt idx="34">
                        <c:v>-36</c:v>
                      </c:pt>
                      <c:pt idx="35">
                        <c:v>-2</c:v>
                      </c:pt>
                      <c:pt idx="36">
                        <c:v>-6</c:v>
                      </c:pt>
                      <c:pt idx="37">
                        <c:v>-10</c:v>
                      </c:pt>
                      <c:pt idx="38">
                        <c:v>-13</c:v>
                      </c:pt>
                      <c:pt idx="39">
                        <c:v>-69</c:v>
                      </c:pt>
                      <c:pt idx="40">
                        <c:v>-15</c:v>
                      </c:pt>
                      <c:pt idx="41">
                        <c:v>-16</c:v>
                      </c:pt>
                      <c:pt idx="42">
                        <c:v>-6</c:v>
                      </c:pt>
                      <c:pt idx="43">
                        <c:v>-7</c:v>
                      </c:pt>
                      <c:pt idx="44">
                        <c:v>-5</c:v>
                      </c:pt>
                      <c:pt idx="45">
                        <c:v>-17</c:v>
                      </c:pt>
                      <c:pt idx="46">
                        <c:v>-5</c:v>
                      </c:pt>
                      <c:pt idx="47">
                        <c:v>-6</c:v>
                      </c:pt>
                      <c:pt idx="48">
                        <c:v>-5</c:v>
                      </c:pt>
                      <c:pt idx="49">
                        <c:v>-6</c:v>
                      </c:pt>
                      <c:pt idx="50">
                        <c:v>-7</c:v>
                      </c:pt>
                      <c:pt idx="51">
                        <c:v>-1</c:v>
                      </c:pt>
                      <c:pt idx="52">
                        <c:v>-1</c:v>
                      </c:pt>
                      <c:pt idx="53">
                        <c:v>-1</c:v>
                      </c:pt>
                      <c:pt idx="54">
                        <c:v>-1</c:v>
                      </c:pt>
                      <c:pt idx="55">
                        <c:v>-1</c:v>
                      </c:pt>
                    </c:numCache>
                  </c:numRef>
                </c:val>
                <c:smooth val="0"/>
                <c:extLst xmlns:c15="http://schemas.microsoft.com/office/drawing/2012/chart">
                  <c:ext xmlns:c16="http://schemas.microsoft.com/office/drawing/2014/chart" uri="{C3380CC4-5D6E-409C-BE32-E72D297353CC}">
                    <c16:uniqueId val="{00000005-EFCF-4B13-867E-9ED284ED1689}"/>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Excel_jumia_dataset!$I$1</c15:sqref>
                        </c15:formulaRef>
                      </c:ext>
                    </c:extLst>
                    <c:strCache>
                      <c:ptCount val="1"/>
                      <c:pt idx="0">
                        <c:v>absolute discount amount</c:v>
                      </c:pt>
                    </c:strCache>
                  </c:strRef>
                </c:tx>
                <c:spPr>
                  <a:ln w="28575" cap="rnd">
                    <a:solidFill>
                      <a:schemeClr val="accent5">
                        <a:tint val="72000"/>
                      </a:schemeClr>
                    </a:solidFill>
                    <a:round/>
                  </a:ln>
                  <a:effectLst/>
                </c:spPr>
                <c:marker>
                  <c:symbol val="circle"/>
                  <c:size val="5"/>
                  <c:spPr>
                    <a:solidFill>
                      <a:schemeClr val="accent5">
                        <a:tint val="72000"/>
                      </a:schemeClr>
                    </a:solidFill>
                    <a:ln w="9525">
                      <a:solidFill>
                        <a:schemeClr val="accent5">
                          <a:tint val="72000"/>
                        </a:schemeClr>
                      </a:solidFill>
                    </a:ln>
                    <a:effectLst/>
                  </c:spPr>
                </c:marker>
                <c:val>
                  <c:numRef>
                    <c:extLst xmlns:c15="http://schemas.microsoft.com/office/drawing/2012/chart">
                      <c:ext xmlns:c15="http://schemas.microsoft.com/office/drawing/2012/chart" uri="{02D57815-91ED-43cb-92C2-25804820EDAC}">
                        <c15:formulaRef>
                          <c15:sqref>Excel_jumia_dataset!$I$2:$I$57</c15:sqref>
                        </c15:formulaRef>
                      </c:ext>
                    </c:extLst>
                    <c:numCache>
                      <c:formatCode>General</c:formatCode>
                      <c:ptCount val="56"/>
                      <c:pt idx="0">
                        <c:v>575</c:v>
                      </c:pt>
                      <c:pt idx="1">
                        <c:v>472</c:v>
                      </c:pt>
                      <c:pt idx="2">
                        <c:v>724</c:v>
                      </c:pt>
                      <c:pt idx="3">
                        <c:v>919</c:v>
                      </c:pt>
                      <c:pt idx="4">
                        <c:v>616</c:v>
                      </c:pt>
                      <c:pt idx="5">
                        <c:v>291</c:v>
                      </c:pt>
                      <c:pt idx="6">
                        <c:v>713</c:v>
                      </c:pt>
                      <c:pt idx="7">
                        <c:v>592</c:v>
                      </c:pt>
                      <c:pt idx="8">
                        <c:v>1526</c:v>
                      </c:pt>
                      <c:pt idx="9">
                        <c:v>1329</c:v>
                      </c:pt>
                      <c:pt idx="10">
                        <c:v>200</c:v>
                      </c:pt>
                      <c:pt idx="11">
                        <c:v>483</c:v>
                      </c:pt>
                      <c:pt idx="12">
                        <c:v>359</c:v>
                      </c:pt>
                      <c:pt idx="13">
                        <c:v>819</c:v>
                      </c:pt>
                      <c:pt idx="14">
                        <c:v>352</c:v>
                      </c:pt>
                      <c:pt idx="15">
                        <c:v>165</c:v>
                      </c:pt>
                      <c:pt idx="16">
                        <c:v>1946</c:v>
                      </c:pt>
                      <c:pt idx="17">
                        <c:v>700</c:v>
                      </c:pt>
                      <c:pt idx="18">
                        <c:v>968</c:v>
                      </c:pt>
                      <c:pt idx="19">
                        <c:v>42</c:v>
                      </c:pt>
                      <c:pt idx="20">
                        <c:v>470</c:v>
                      </c:pt>
                      <c:pt idx="21">
                        <c:v>500</c:v>
                      </c:pt>
                      <c:pt idx="22">
                        <c:v>2452</c:v>
                      </c:pt>
                      <c:pt idx="23">
                        <c:v>227</c:v>
                      </c:pt>
                      <c:pt idx="24">
                        <c:v>640</c:v>
                      </c:pt>
                      <c:pt idx="25">
                        <c:v>640</c:v>
                      </c:pt>
                      <c:pt idx="26">
                        <c:v>741</c:v>
                      </c:pt>
                      <c:pt idx="27">
                        <c:v>197</c:v>
                      </c:pt>
                      <c:pt idx="28">
                        <c:v>510</c:v>
                      </c:pt>
                      <c:pt idx="29">
                        <c:v>1670</c:v>
                      </c:pt>
                      <c:pt idx="30">
                        <c:v>710</c:v>
                      </c:pt>
                      <c:pt idx="31">
                        <c:v>719</c:v>
                      </c:pt>
                      <c:pt idx="32">
                        <c:v>1070</c:v>
                      </c:pt>
                      <c:pt idx="33">
                        <c:v>189</c:v>
                      </c:pt>
                      <c:pt idx="34">
                        <c:v>267</c:v>
                      </c:pt>
                      <c:pt idx="35">
                        <c:v>900</c:v>
                      </c:pt>
                      <c:pt idx="36">
                        <c:v>330</c:v>
                      </c:pt>
                      <c:pt idx="37">
                        <c:v>528</c:v>
                      </c:pt>
                      <c:pt idx="38">
                        <c:v>2585</c:v>
                      </c:pt>
                      <c:pt idx="39">
                        <c:v>428</c:v>
                      </c:pt>
                      <c:pt idx="40">
                        <c:v>355</c:v>
                      </c:pt>
                      <c:pt idx="41">
                        <c:v>335</c:v>
                      </c:pt>
                      <c:pt idx="42">
                        <c:v>824</c:v>
                      </c:pt>
                      <c:pt idx="43">
                        <c:v>1000</c:v>
                      </c:pt>
                      <c:pt idx="44">
                        <c:v>2393</c:v>
                      </c:pt>
                      <c:pt idx="45">
                        <c:v>318</c:v>
                      </c:pt>
                      <c:pt idx="46">
                        <c:v>940</c:v>
                      </c:pt>
                      <c:pt idx="47">
                        <c:v>257</c:v>
                      </c:pt>
                      <c:pt idx="48">
                        <c:v>390</c:v>
                      </c:pt>
                      <c:pt idx="49">
                        <c:v>846</c:v>
                      </c:pt>
                      <c:pt idx="50">
                        <c:v>1418</c:v>
                      </c:pt>
                      <c:pt idx="51">
                        <c:v>1010</c:v>
                      </c:pt>
                      <c:pt idx="52">
                        <c:v>941</c:v>
                      </c:pt>
                      <c:pt idx="53">
                        <c:v>317</c:v>
                      </c:pt>
                      <c:pt idx="54">
                        <c:v>948</c:v>
                      </c:pt>
                      <c:pt idx="55">
                        <c:v>450</c:v>
                      </c:pt>
                    </c:numCache>
                  </c:numRef>
                </c:val>
                <c:smooth val="0"/>
                <c:extLst xmlns:c15="http://schemas.microsoft.com/office/drawing/2012/chart">
                  <c:ext xmlns:c16="http://schemas.microsoft.com/office/drawing/2014/chart" uri="{C3380CC4-5D6E-409C-BE32-E72D297353CC}">
                    <c16:uniqueId val="{00000006-EFCF-4B13-867E-9ED284ED168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Excel_jumia_dataset!$J$1</c15:sqref>
                        </c15:formulaRef>
                      </c:ext>
                    </c:extLst>
                    <c:strCache>
                      <c:ptCount val="1"/>
                      <c:pt idx="0">
                        <c:v>Product Category</c:v>
                      </c:pt>
                    </c:strCache>
                  </c:strRef>
                </c:tx>
                <c:spPr>
                  <a:ln w="28575" cap="rnd">
                    <a:solidFill>
                      <a:schemeClr val="accent5">
                        <a:tint val="58000"/>
                      </a:schemeClr>
                    </a:solidFill>
                    <a:round/>
                  </a:ln>
                  <a:effectLst/>
                </c:spPr>
                <c:marker>
                  <c:symbol val="circle"/>
                  <c:size val="5"/>
                  <c:spPr>
                    <a:solidFill>
                      <a:schemeClr val="accent5">
                        <a:tint val="58000"/>
                      </a:schemeClr>
                    </a:solidFill>
                    <a:ln w="9525">
                      <a:solidFill>
                        <a:schemeClr val="accent5">
                          <a:tint val="58000"/>
                        </a:schemeClr>
                      </a:solidFill>
                    </a:ln>
                    <a:effectLst/>
                  </c:spPr>
                </c:marker>
                <c:val>
                  <c:numRef>
                    <c:extLst xmlns:c15="http://schemas.microsoft.com/office/drawing/2012/chart">
                      <c:ext xmlns:c15="http://schemas.microsoft.com/office/drawing/2012/chart" uri="{02D57815-91ED-43cb-92C2-25804820EDAC}">
                        <c15:formulaRef>
                          <c15:sqref>Excel_jumia_dataset!$J$2:$J$57</c15:sqref>
                        </c15:formulaRef>
                      </c:ext>
                    </c:extLst>
                    <c:numCache>
                      <c:formatCode>General</c:formatCode>
                      <c:ptCount val="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numCache>
                  </c:numRef>
                </c:val>
                <c:smooth val="0"/>
                <c:extLst xmlns:c15="http://schemas.microsoft.com/office/drawing/2012/chart">
                  <c:ext xmlns:c16="http://schemas.microsoft.com/office/drawing/2014/chart" uri="{C3380CC4-5D6E-409C-BE32-E72D297353CC}">
                    <c16:uniqueId val="{00000007-EFCF-4B13-867E-9ED284ED1689}"/>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Excel_jumia_dataset!$K$1</c15:sqref>
                        </c15:formulaRef>
                      </c:ext>
                    </c:extLst>
                    <c:strCache>
                      <c:ptCount val="1"/>
                      <c:pt idx="0">
                        <c:v>Discount Category</c:v>
                      </c:pt>
                    </c:strCache>
                  </c:strRef>
                </c:tx>
                <c:spPr>
                  <a:ln w="28575" cap="rnd">
                    <a:solidFill>
                      <a:schemeClr val="accent5">
                        <a:tint val="44000"/>
                      </a:schemeClr>
                    </a:solidFill>
                    <a:round/>
                  </a:ln>
                  <a:effectLst/>
                </c:spPr>
                <c:marker>
                  <c:symbol val="circle"/>
                  <c:size val="5"/>
                  <c:spPr>
                    <a:solidFill>
                      <a:schemeClr val="accent5">
                        <a:tint val="44000"/>
                      </a:schemeClr>
                    </a:solidFill>
                    <a:ln w="9525">
                      <a:solidFill>
                        <a:schemeClr val="accent5">
                          <a:tint val="44000"/>
                        </a:schemeClr>
                      </a:solidFill>
                    </a:ln>
                    <a:effectLst/>
                  </c:spPr>
                </c:marker>
                <c:val>
                  <c:numRef>
                    <c:extLst xmlns:c15="http://schemas.microsoft.com/office/drawing/2012/chart">
                      <c:ext xmlns:c15="http://schemas.microsoft.com/office/drawing/2012/chart" uri="{02D57815-91ED-43cb-92C2-25804820EDAC}">
                        <c15:formulaRef>
                          <c15:sqref>Excel_jumia_dataset!$K$2:$K$57</c15:sqref>
                        </c15:formulaRef>
                      </c:ext>
                    </c:extLst>
                    <c:numCache>
                      <c:formatCode>General</c:formatCode>
                      <c:ptCount val="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numCache>
                  </c:numRef>
                </c:val>
                <c:smooth val="0"/>
                <c:extLst xmlns:c15="http://schemas.microsoft.com/office/drawing/2012/chart">
                  <c:ext xmlns:c16="http://schemas.microsoft.com/office/drawing/2014/chart" uri="{C3380CC4-5D6E-409C-BE32-E72D297353CC}">
                    <c16:uniqueId val="{00000008-EFCF-4B13-867E-9ED284ED1689}"/>
                  </c:ext>
                </c:extLst>
              </c15:ser>
            </c15:filteredLineSeries>
          </c:ext>
        </c:extLst>
      </c:lineChart>
      <c:lineChart>
        <c:grouping val="standard"/>
        <c:varyColors val="0"/>
        <c:ser>
          <c:idx val="5"/>
          <c:order val="5"/>
          <c:tx>
            <c:strRef>
              <c:f>Excel_jumia_dataset!$H$1</c:f>
              <c:strCache>
                <c:ptCount val="1"/>
                <c:pt idx="0">
                  <c:v>Ratingd</c:v>
                </c:pt>
              </c:strCache>
            </c:strRef>
          </c:tx>
          <c:spPr>
            <a:ln w="28575" cap="rnd">
              <a:solidFill>
                <a:schemeClr val="accent5">
                  <a:tint val="86000"/>
                </a:schemeClr>
              </a:solidFill>
              <a:round/>
            </a:ln>
            <a:effectLst/>
          </c:spPr>
          <c:marker>
            <c:symbol val="none"/>
          </c:marker>
          <c:val>
            <c:numRef>
              <c:f>Excel_jumia_dataset!$H$2:$H$57</c:f>
              <c:numCache>
                <c:formatCode>General</c:formatCode>
                <c:ptCount val="5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4.8</c:v>
                </c:pt>
                <c:pt idx="12">
                  <c:v>4.5</c:v>
                </c:pt>
                <c:pt idx="13">
                  <c:v>4.2</c:v>
                </c:pt>
                <c:pt idx="14">
                  <c:v>5</c:v>
                </c:pt>
                <c:pt idx="15">
                  <c:v>5</c:v>
                </c:pt>
                <c:pt idx="16">
                  <c:v>5</c:v>
                </c:pt>
                <c:pt idx="17">
                  <c:v>4.5999999999999996</c:v>
                </c:pt>
                <c:pt idx="18">
                  <c:v>4.5999999999999996</c:v>
                </c:pt>
                <c:pt idx="19">
                  <c:v>3.3</c:v>
                </c:pt>
                <c:pt idx="20">
                  <c:v>4</c:v>
                </c:pt>
                <c:pt idx="21">
                  <c:v>4.4000000000000004</c:v>
                </c:pt>
                <c:pt idx="22">
                  <c:v>4.3</c:v>
                </c:pt>
                <c:pt idx="23">
                  <c:v>4.5999999999999996</c:v>
                </c:pt>
                <c:pt idx="24">
                  <c:v>3.8</c:v>
                </c:pt>
                <c:pt idx="25">
                  <c:v>3.8</c:v>
                </c:pt>
                <c:pt idx="26">
                  <c:v>4.0999999999999996</c:v>
                </c:pt>
                <c:pt idx="27">
                  <c:v>4.3</c:v>
                </c:pt>
                <c:pt idx="28">
                  <c:v>4.7</c:v>
                </c:pt>
                <c:pt idx="29">
                  <c:v>4.3</c:v>
                </c:pt>
                <c:pt idx="30">
                  <c:v>4.7</c:v>
                </c:pt>
                <c:pt idx="31">
                  <c:v>4.5</c:v>
                </c:pt>
                <c:pt idx="32">
                  <c:v>5</c:v>
                </c:pt>
                <c:pt idx="33">
                  <c:v>5</c:v>
                </c:pt>
                <c:pt idx="34">
                  <c:v>4.3</c:v>
                </c:pt>
                <c:pt idx="35">
                  <c:v>4.5</c:v>
                </c:pt>
                <c:pt idx="36">
                  <c:v>2.5</c:v>
                </c:pt>
                <c:pt idx="37">
                  <c:v>3</c:v>
                </c:pt>
                <c:pt idx="38">
                  <c:v>2.1</c:v>
                </c:pt>
                <c:pt idx="39">
                  <c:v>2.8</c:v>
                </c:pt>
                <c:pt idx="40">
                  <c:v>2.7</c:v>
                </c:pt>
                <c:pt idx="41">
                  <c:v>2.9</c:v>
                </c:pt>
                <c:pt idx="42">
                  <c:v>2.2000000000000002</c:v>
                </c:pt>
                <c:pt idx="43">
                  <c:v>2.2999999999999998</c:v>
                </c:pt>
                <c:pt idx="44">
                  <c:v>3</c:v>
                </c:pt>
                <c:pt idx="45">
                  <c:v>2.6</c:v>
                </c:pt>
                <c:pt idx="46">
                  <c:v>3</c:v>
                </c:pt>
                <c:pt idx="47">
                  <c:v>2.2999999999999998</c:v>
                </c:pt>
                <c:pt idx="48">
                  <c:v>3</c:v>
                </c:pt>
                <c:pt idx="49">
                  <c:v>2.2000000000000002</c:v>
                </c:pt>
                <c:pt idx="50">
                  <c:v>2.1</c:v>
                </c:pt>
                <c:pt idx="51">
                  <c:v>3</c:v>
                </c:pt>
                <c:pt idx="52">
                  <c:v>5</c:v>
                </c:pt>
                <c:pt idx="53">
                  <c:v>4</c:v>
                </c:pt>
                <c:pt idx="54">
                  <c:v>5</c:v>
                </c:pt>
                <c:pt idx="55">
                  <c:v>2</c:v>
                </c:pt>
              </c:numCache>
            </c:numRef>
          </c:val>
          <c:smooth val="0"/>
          <c:extLst>
            <c:ext xmlns:c16="http://schemas.microsoft.com/office/drawing/2014/chart" uri="{C3380CC4-5D6E-409C-BE32-E72D297353CC}">
              <c16:uniqueId val="{00000001-EFCF-4B13-867E-9ED284ED1689}"/>
            </c:ext>
          </c:extLst>
        </c:ser>
        <c:dLbls>
          <c:showLegendKey val="0"/>
          <c:showVal val="0"/>
          <c:showCatName val="0"/>
          <c:showSerName val="0"/>
          <c:showPercent val="0"/>
          <c:showBubbleSize val="0"/>
        </c:dLbls>
        <c:marker val="1"/>
        <c:smooth val="0"/>
        <c:axId val="1452932687"/>
        <c:axId val="1452935087"/>
      </c:lineChart>
      <c:catAx>
        <c:axId val="145294180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6527"/>
        <c:crosses val="autoZero"/>
        <c:auto val="1"/>
        <c:lblAlgn val="ctr"/>
        <c:lblOffset val="100"/>
        <c:noMultiLvlLbl val="0"/>
      </c:catAx>
      <c:valAx>
        <c:axId val="14529365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41807"/>
        <c:crosses val="autoZero"/>
        <c:crossBetween val="between"/>
        <c:majorUnit val="0.5"/>
      </c:valAx>
      <c:valAx>
        <c:axId val="14529350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2687"/>
        <c:crosses val="max"/>
        <c:crossBetween val="between"/>
      </c:valAx>
      <c:catAx>
        <c:axId val="1452932687"/>
        <c:scaling>
          <c:orientation val="minMax"/>
        </c:scaling>
        <c:delete val="1"/>
        <c:axPos val="b"/>
        <c:majorTickMark val="none"/>
        <c:minorTickMark val="none"/>
        <c:tickLblPos val="nextTo"/>
        <c:crossAx val="1452935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Bottom </a:t>
            </a:r>
            <a:r>
              <a:rPr lang="en-KE" sz="1400" b="0" i="0" u="none" strike="noStrike" baseline="0"/>
              <a:t>5 products with the lowest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Bottom_5_Ratings!$H$1</c:f>
              <c:strCache>
                <c:ptCount val="1"/>
                <c:pt idx="0">
                  <c:v>Ratingd</c:v>
                </c:pt>
              </c:strCache>
            </c:strRef>
          </c:tx>
          <c:spPr>
            <a:solidFill>
              <a:schemeClr val="accent1">
                <a:lumMod val="60000"/>
              </a:schemeClr>
            </a:solidFill>
            <a:ln>
              <a:noFill/>
            </a:ln>
            <a:effectLst/>
          </c:spPr>
          <c:invertIfNegative val="0"/>
          <c:cat>
            <c:strRef>
              <c:f>Bottom_5_Ratings!$A$2:$A$6</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Bottom_5_Ratings!$H$2:$H$6</c:f>
              <c:numCache>
                <c:formatCode>General</c:formatCode>
                <c:ptCount val="5"/>
                <c:pt idx="0">
                  <c:v>2</c:v>
                </c:pt>
                <c:pt idx="1">
                  <c:v>2.1</c:v>
                </c:pt>
                <c:pt idx="2">
                  <c:v>2.1</c:v>
                </c:pt>
                <c:pt idx="3">
                  <c:v>2.2000000000000002</c:v>
                </c:pt>
                <c:pt idx="4">
                  <c:v>2.2000000000000002</c:v>
                </c:pt>
              </c:numCache>
            </c:numRef>
          </c:val>
          <c:extLst>
            <c:ext xmlns:c16="http://schemas.microsoft.com/office/drawing/2014/chart" uri="{C3380CC4-5D6E-409C-BE32-E72D297353CC}">
              <c16:uniqueId val="{00000000-4A9E-4DC2-B4B5-5D97EDF511C5}"/>
            </c:ext>
          </c:extLst>
        </c:ser>
        <c:dLbls>
          <c:showLegendKey val="0"/>
          <c:showVal val="0"/>
          <c:showCatName val="0"/>
          <c:showSerName val="0"/>
          <c:showPercent val="0"/>
          <c:showBubbleSize val="0"/>
        </c:dLbls>
        <c:gapWidth val="219"/>
        <c:overlap val="-27"/>
        <c:axId val="1905877407"/>
        <c:axId val="1905875967"/>
        <c:extLst>
          <c:ext xmlns:c15="http://schemas.microsoft.com/office/drawing/2012/chart" uri="{02D57815-91ED-43cb-92C2-25804820EDAC}">
            <c15:filteredBarSeries>
              <c15:ser>
                <c:idx val="0"/>
                <c:order val="0"/>
                <c:tx>
                  <c:strRef>
                    <c:extLst>
                      <c:ext uri="{02D57815-91ED-43cb-92C2-25804820EDAC}">
                        <c15:formulaRef>
                          <c15:sqref>Bottom_5_Ratings!$B$1</c15:sqref>
                        </c15:formulaRef>
                      </c:ext>
                    </c:extLst>
                    <c:strCache>
                      <c:ptCount val="1"/>
                      <c:pt idx="0">
                        <c:v>Current price</c:v>
                      </c:pt>
                    </c:strCache>
                  </c:strRef>
                </c:tx>
                <c:spPr>
                  <a:solidFill>
                    <a:schemeClr val="accent1"/>
                  </a:solidFill>
                  <a:ln>
                    <a:noFill/>
                  </a:ln>
                  <a:effectLst/>
                </c:spPr>
                <c:invertIfNegative val="0"/>
                <c:cat>
                  <c:strRef>
                    <c:extLst>
                      <c:ex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c:ext uri="{02D57815-91ED-43cb-92C2-25804820EDAC}">
                        <c15:formulaRef>
                          <c15:sqref>Bottom_5_Ratings!$B$2:$B$6</c15:sqref>
                        </c15:formulaRef>
                      </c:ext>
                    </c:extLst>
                    <c:numCache>
                      <c:formatCode>_(* #,##0.00_);_(* \(#,##0.00\);_(* "-"??_);_(@_)</c:formatCode>
                      <c:ptCount val="5"/>
                      <c:pt idx="0">
                        <c:v>450</c:v>
                      </c:pt>
                      <c:pt idx="1">
                        <c:v>2115</c:v>
                      </c:pt>
                      <c:pt idx="2">
                        <c:v>1570</c:v>
                      </c:pt>
                      <c:pt idx="3">
                        <c:v>990</c:v>
                      </c:pt>
                      <c:pt idx="4">
                        <c:v>968</c:v>
                      </c:pt>
                    </c:numCache>
                  </c:numRef>
                </c:val>
                <c:extLst>
                  <c:ext xmlns:c16="http://schemas.microsoft.com/office/drawing/2014/chart" uri="{C3380CC4-5D6E-409C-BE32-E72D297353CC}">
                    <c16:uniqueId val="{00000001-4A9E-4DC2-B4B5-5D97EDF511C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Bottom_5_Ratings!$C$1</c15:sqref>
                        </c15:formulaRef>
                      </c:ext>
                    </c:extLst>
                    <c:strCache>
                      <c:ptCount val="1"/>
                      <c:pt idx="0">
                        <c:v> old price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Bottom_5_Ratings!$C$2:$C$6</c15:sqref>
                        </c15:formulaRef>
                      </c:ext>
                    </c:extLst>
                    <c:numCache>
                      <c:formatCode>_(* #,##0.00_);_(* \(#,##0.00\);_(* "-"??_);_(@_)</c:formatCode>
                      <c:ptCount val="5"/>
                      <c:pt idx="0">
                        <c:v>900</c:v>
                      </c:pt>
                      <c:pt idx="1">
                        <c:v>4700</c:v>
                      </c:pt>
                      <c:pt idx="2">
                        <c:v>2988</c:v>
                      </c:pt>
                      <c:pt idx="3">
                        <c:v>1814</c:v>
                      </c:pt>
                      <c:pt idx="4">
                        <c:v>1814</c:v>
                      </c:pt>
                    </c:numCache>
                  </c:numRef>
                </c:val>
                <c:extLst xmlns:c15="http://schemas.microsoft.com/office/drawing/2012/chart">
                  <c:ext xmlns:c16="http://schemas.microsoft.com/office/drawing/2014/chart" uri="{C3380CC4-5D6E-409C-BE32-E72D297353CC}">
                    <c16:uniqueId val="{00000002-4A9E-4DC2-B4B5-5D97EDF511C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Bottom_5_Ratings!$D$1</c15:sqref>
                        </c15:formulaRef>
                      </c:ext>
                    </c:extLst>
                    <c:strCache>
                      <c:ptCount val="1"/>
                      <c:pt idx="0">
                        <c:v>Discount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Bottom_5_Ratings!$D$2:$D$6</c15:sqref>
                        </c15:formulaRef>
                      </c:ext>
                    </c:extLst>
                    <c:numCache>
                      <c:formatCode>0%</c:formatCode>
                      <c:ptCount val="5"/>
                      <c:pt idx="0">
                        <c:v>0.5</c:v>
                      </c:pt>
                      <c:pt idx="1">
                        <c:v>0.55000000000000004</c:v>
                      </c:pt>
                      <c:pt idx="2">
                        <c:v>0.47</c:v>
                      </c:pt>
                      <c:pt idx="3">
                        <c:v>0.45</c:v>
                      </c:pt>
                      <c:pt idx="4">
                        <c:v>0.47</c:v>
                      </c:pt>
                    </c:numCache>
                  </c:numRef>
                </c:val>
                <c:extLst xmlns:c15="http://schemas.microsoft.com/office/drawing/2012/chart">
                  <c:ext xmlns:c16="http://schemas.microsoft.com/office/drawing/2014/chart" uri="{C3380CC4-5D6E-409C-BE32-E72D297353CC}">
                    <c16:uniqueId val="{00000003-4A9E-4DC2-B4B5-5D97EDF511C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Bottom_5_Ratings!$E$1</c15:sqref>
                        </c15:formulaRef>
                      </c:ext>
                    </c:extLst>
                    <c:strCache>
                      <c:ptCount val="1"/>
                      <c:pt idx="0">
                        <c:v>Discount </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Bottom_5_Ratings!$E$2:$E$6</c15:sqref>
                        </c15:formulaRef>
                      </c:ext>
                    </c:extLst>
                    <c:numCache>
                      <c:formatCode>0.00</c:formatCode>
                      <c:ptCount val="5"/>
                      <c:pt idx="0">
                        <c:v>0.5</c:v>
                      </c:pt>
                      <c:pt idx="1">
                        <c:v>0.55000000000000004</c:v>
                      </c:pt>
                      <c:pt idx="2">
                        <c:v>0.47</c:v>
                      </c:pt>
                      <c:pt idx="3">
                        <c:v>0.45</c:v>
                      </c:pt>
                      <c:pt idx="4">
                        <c:v>0.47</c:v>
                      </c:pt>
                    </c:numCache>
                  </c:numRef>
                </c:val>
                <c:extLst xmlns:c15="http://schemas.microsoft.com/office/drawing/2012/chart">
                  <c:ext xmlns:c16="http://schemas.microsoft.com/office/drawing/2014/chart" uri="{C3380CC4-5D6E-409C-BE32-E72D297353CC}">
                    <c16:uniqueId val="{00000004-4A9E-4DC2-B4B5-5D97EDF511C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Bottom_5_Ratings!$F$1</c15:sqref>
                        </c15:formulaRef>
                      </c:ext>
                    </c:extLst>
                    <c:strCache>
                      <c:ptCount val="1"/>
                      <c:pt idx="0">
                        <c:v>Review</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Bottom_5_Ratings!$F$2:$F$6</c15:sqref>
                        </c15:formulaRef>
                      </c:ext>
                    </c:extLst>
                    <c:numCache>
                      <c:formatCode>General</c:formatCode>
                      <c:ptCount val="5"/>
                      <c:pt idx="0">
                        <c:v>-1</c:v>
                      </c:pt>
                      <c:pt idx="1">
                        <c:v>-13</c:v>
                      </c:pt>
                      <c:pt idx="2">
                        <c:v>-7</c:v>
                      </c:pt>
                      <c:pt idx="3">
                        <c:v>-6</c:v>
                      </c:pt>
                      <c:pt idx="4">
                        <c:v>-6</c:v>
                      </c:pt>
                    </c:numCache>
                  </c:numRef>
                </c:val>
                <c:extLst xmlns:c15="http://schemas.microsoft.com/office/drawing/2012/chart">
                  <c:ext xmlns:c16="http://schemas.microsoft.com/office/drawing/2014/chart" uri="{C3380CC4-5D6E-409C-BE32-E72D297353CC}">
                    <c16:uniqueId val="{00000005-4A9E-4DC2-B4B5-5D97EDF511C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Bottom_5_Ratings!$G$1</c15:sqref>
                        </c15:formulaRef>
                      </c:ext>
                    </c:extLst>
                    <c:strCache>
                      <c:ptCount val="1"/>
                      <c:pt idx="0">
                        <c:v>Review</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Bottom_5_Ratings!$G$2:$G$6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6-4A9E-4DC2-B4B5-5D97EDF511C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Bottom_5_Ratings!$I$1</c15:sqref>
                        </c15:formulaRef>
                      </c:ext>
                    </c:extLst>
                    <c:strCache>
                      <c:ptCount val="1"/>
                      <c:pt idx="0">
                        <c:v>absolute discount amount</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Bottom_5_Ratings!$I$2:$I$6</c15:sqref>
                        </c15:formulaRef>
                      </c:ext>
                    </c:extLst>
                    <c:numCache>
                      <c:formatCode>General</c:formatCode>
                      <c:ptCount val="5"/>
                      <c:pt idx="0">
                        <c:v>450</c:v>
                      </c:pt>
                      <c:pt idx="1">
                        <c:v>2585</c:v>
                      </c:pt>
                      <c:pt idx="2">
                        <c:v>1418</c:v>
                      </c:pt>
                      <c:pt idx="3">
                        <c:v>824</c:v>
                      </c:pt>
                      <c:pt idx="4">
                        <c:v>846</c:v>
                      </c:pt>
                    </c:numCache>
                  </c:numRef>
                </c:val>
                <c:extLst xmlns:c15="http://schemas.microsoft.com/office/drawing/2012/chart">
                  <c:ext xmlns:c16="http://schemas.microsoft.com/office/drawing/2014/chart" uri="{C3380CC4-5D6E-409C-BE32-E72D297353CC}">
                    <c16:uniqueId val="{00000007-4A9E-4DC2-B4B5-5D97EDF511C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Bottom_5_Ratings!$J$1</c15:sqref>
                        </c15:formulaRef>
                      </c:ext>
                    </c:extLst>
                    <c:strCache>
                      <c:ptCount val="1"/>
                      <c:pt idx="0">
                        <c:v>Product Category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Bottom_5_Ratings!$J$2:$J$6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8-4A9E-4DC2-B4B5-5D97EDF511C5}"/>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Bottom_5_Ratings!$K$1</c15:sqref>
                        </c15:formulaRef>
                      </c:ext>
                    </c:extLst>
                    <c:strCache>
                      <c:ptCount val="1"/>
                      <c:pt idx="0">
                        <c:v>Discount Category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Bottom_5_Ratings!$K$2:$K$6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9-4A9E-4DC2-B4B5-5D97EDF511C5}"/>
                  </c:ext>
                </c:extLst>
              </c15:ser>
            </c15:filteredBarSeries>
          </c:ext>
        </c:extLst>
      </c:barChart>
      <c:catAx>
        <c:axId val="19058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5967"/>
        <c:crosses val="autoZero"/>
        <c:auto val="1"/>
        <c:lblAlgn val="ctr"/>
        <c:lblOffset val="100"/>
        <c:noMultiLvlLbl val="0"/>
      </c:catAx>
      <c:valAx>
        <c:axId val="190587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0" i="0" u="none" strike="noStrike" baseline="0"/>
              <a:t>Compar</a:t>
            </a:r>
            <a:r>
              <a:rPr lang="en-US" sz="1400" b="0" i="0" u="none" strike="noStrike" baseline="0"/>
              <a:t>son of</a:t>
            </a:r>
            <a:r>
              <a:rPr lang="en-KE" sz="1400" b="0" i="0" u="none" strike="noStrike" baseline="0"/>
              <a:t> the performance of products with high discounts versus </a:t>
            </a:r>
            <a:r>
              <a:rPr lang="en-US" sz="1400" b="0" i="0" u="none" strike="noStrike" baseline="0"/>
              <a:t>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6"/>
          <c:order val="6"/>
          <c:tx>
            <c:strRef>
              <c:f>Top_10_Disc_Rating!$H$1</c:f>
              <c:strCache>
                <c:ptCount val="1"/>
                <c:pt idx="0">
                  <c:v>Ratingd</c:v>
                </c:pt>
              </c:strCache>
            </c:strRef>
          </c:tx>
          <c:spPr>
            <a:ln w="28575" cap="rnd">
              <a:solidFill>
                <a:schemeClr val="accent1">
                  <a:tint val="81000"/>
                </a:schemeClr>
              </a:solidFill>
              <a:round/>
            </a:ln>
            <a:effectLst/>
          </c:spPr>
          <c:marker>
            <c:symbol val="none"/>
          </c:marker>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Top_10_Disc_Rating!$H$2:$H$11</c:f>
              <c:numCache>
                <c:formatCode>General</c:formatCode>
                <c:ptCount val="10"/>
                <c:pt idx="0">
                  <c:v>4.8</c:v>
                </c:pt>
                <c:pt idx="1">
                  <c:v>2.1</c:v>
                </c:pt>
                <c:pt idx="2">
                  <c:v>4.3</c:v>
                </c:pt>
                <c:pt idx="3">
                  <c:v>3</c:v>
                </c:pt>
                <c:pt idx="4">
                  <c:v>3.3</c:v>
                </c:pt>
                <c:pt idx="5">
                  <c:v>5</c:v>
                </c:pt>
                <c:pt idx="6">
                  <c:v>4.3</c:v>
                </c:pt>
                <c:pt idx="7">
                  <c:v>2.7</c:v>
                </c:pt>
                <c:pt idx="8">
                  <c:v>5</c:v>
                </c:pt>
                <c:pt idx="9">
                  <c:v>2.2999999999999998</c:v>
                </c:pt>
              </c:numCache>
            </c:numRef>
          </c:val>
          <c:smooth val="0"/>
          <c:extLst>
            <c:ext xmlns:c16="http://schemas.microsoft.com/office/drawing/2014/chart" uri="{C3380CC4-5D6E-409C-BE32-E72D297353CC}">
              <c16:uniqueId val="{00000000-8C44-4824-A18F-35BAD87D2B19}"/>
            </c:ext>
          </c:extLst>
        </c:ser>
        <c:dLbls>
          <c:showLegendKey val="0"/>
          <c:showVal val="0"/>
          <c:showCatName val="0"/>
          <c:showSerName val="0"/>
          <c:showPercent val="0"/>
          <c:showBubbleSize val="0"/>
        </c:dLbls>
        <c:marker val="1"/>
        <c:smooth val="0"/>
        <c:axId val="1905829407"/>
        <c:axId val="1905831327"/>
      </c:lineChart>
      <c:lineChart>
        <c:grouping val="stacked"/>
        <c:varyColors val="0"/>
        <c:ser>
          <c:idx val="2"/>
          <c:order val="2"/>
          <c:tx>
            <c:strRef>
              <c:f>Top_10_Disc_Rating!$D$1</c:f>
              <c:strCache>
                <c:ptCount val="1"/>
                <c:pt idx="0">
                  <c:v>Discount</c:v>
                </c:pt>
              </c:strCache>
            </c:strRef>
          </c:tx>
          <c:spPr>
            <a:ln w="28575" cap="rnd">
              <a:solidFill>
                <a:schemeClr val="accent1">
                  <a:shade val="68000"/>
                </a:schemeClr>
              </a:solidFill>
              <a:round/>
            </a:ln>
            <a:effectLst/>
          </c:spPr>
          <c:marker>
            <c:symbol val="circle"/>
            <c:size val="5"/>
            <c:spPr>
              <a:solidFill>
                <a:schemeClr val="accent1">
                  <a:shade val="68000"/>
                </a:schemeClr>
              </a:solidFill>
              <a:ln w="9525">
                <a:solidFill>
                  <a:schemeClr val="accent1">
                    <a:shade val="68000"/>
                  </a:schemeClr>
                </a:solidFill>
              </a:ln>
              <a:effectLst/>
            </c:spPr>
          </c:marker>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Top_10_Disc_Rating!$D$2:$D$11</c:f>
              <c:numCache>
                <c:formatCode>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smooth val="0"/>
          <c:extLst>
            <c:ext xmlns:c16="http://schemas.microsoft.com/office/drawing/2014/chart" uri="{C3380CC4-5D6E-409C-BE32-E72D297353CC}">
              <c16:uniqueId val="{00000001-8C44-4824-A18F-35BAD87D2B19}"/>
            </c:ext>
          </c:extLst>
        </c:ser>
        <c:dLbls>
          <c:showLegendKey val="0"/>
          <c:showVal val="0"/>
          <c:showCatName val="0"/>
          <c:showSerName val="0"/>
          <c:showPercent val="0"/>
          <c:showBubbleSize val="0"/>
        </c:dLbls>
        <c:marker val="1"/>
        <c:smooth val="0"/>
        <c:axId val="1648276767"/>
        <c:axId val="1648273887"/>
        <c:extLst>
          <c:ext xmlns:c15="http://schemas.microsoft.com/office/drawing/2012/chart" uri="{02D57815-91ED-43cb-92C2-25804820EDAC}">
            <c15:filteredLineSeries>
              <c15:ser>
                <c:idx val="0"/>
                <c:order val="0"/>
                <c:tx>
                  <c:strRef>
                    <c:extLst>
                      <c:ext uri="{02D57815-91ED-43cb-92C2-25804820EDAC}">
                        <c15:formulaRef>
                          <c15:sqref>Top_10_Disc_Rating!$B$1</c15:sqref>
                        </c15:formulaRef>
                      </c:ext>
                    </c:extLst>
                    <c:strCache>
                      <c:ptCount val="1"/>
                      <c:pt idx="0">
                        <c:v>Current price</c:v>
                      </c:pt>
                    </c:strCache>
                  </c:strRef>
                </c:tx>
                <c:spPr>
                  <a:ln w="28575" cap="rnd">
                    <a:solidFill>
                      <a:schemeClr val="accent1">
                        <a:shade val="42000"/>
                      </a:schemeClr>
                    </a:solidFill>
                    <a:round/>
                  </a:ln>
                  <a:effectLst/>
                </c:spPr>
                <c:marker>
                  <c:symbol val="circle"/>
                  <c:size val="5"/>
                  <c:spPr>
                    <a:solidFill>
                      <a:schemeClr val="accent1">
                        <a:shade val="42000"/>
                      </a:schemeClr>
                    </a:solidFill>
                    <a:ln w="9525">
                      <a:solidFill>
                        <a:schemeClr val="accent1">
                          <a:shade val="42000"/>
                        </a:schemeClr>
                      </a:solidFill>
                    </a:ln>
                    <a:effectLst/>
                  </c:spPr>
                </c:marker>
                <c:cat>
                  <c:strRef>
                    <c:extLst>
                      <c:ex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c:ext uri="{02D57815-91ED-43cb-92C2-25804820EDAC}">
                        <c15:formulaRef>
                          <c15:sqref>Top_10_Disc_Rating!$B$2:$B$11</c15:sqref>
                        </c15:formulaRef>
                      </c:ext>
                    </c:extLst>
                    <c:numCache>
                      <c:formatCode>_(* #,##0.00_);_(* \(#,##0.00\);_(* "-"??_);_(@_)</c:formatCode>
                      <c:ptCount val="10"/>
                      <c:pt idx="0">
                        <c:v>1274</c:v>
                      </c:pt>
                      <c:pt idx="1">
                        <c:v>2115</c:v>
                      </c:pt>
                      <c:pt idx="2">
                        <c:v>2048</c:v>
                      </c:pt>
                      <c:pt idx="3">
                        <c:v>458</c:v>
                      </c:pt>
                      <c:pt idx="4">
                        <c:v>38</c:v>
                      </c:pt>
                      <c:pt idx="5">
                        <c:v>171</c:v>
                      </c:pt>
                      <c:pt idx="6">
                        <c:v>185</c:v>
                      </c:pt>
                      <c:pt idx="7">
                        <c:v>325</c:v>
                      </c:pt>
                      <c:pt idx="8">
                        <c:v>332</c:v>
                      </c:pt>
                      <c:pt idx="9">
                        <c:v>1000</c:v>
                      </c:pt>
                    </c:numCache>
                  </c:numRef>
                </c:val>
                <c:smooth val="0"/>
                <c:extLst>
                  <c:ext xmlns:c16="http://schemas.microsoft.com/office/drawing/2014/chart" uri="{C3380CC4-5D6E-409C-BE32-E72D297353CC}">
                    <c16:uniqueId val="{00000002-8C44-4824-A18F-35BAD87D2B1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Top_10_Disc_Rating!$C$1</c15:sqref>
                        </c15:formulaRef>
                      </c:ext>
                    </c:extLst>
                    <c:strCache>
                      <c:ptCount val="1"/>
                      <c:pt idx="0">
                        <c:v> old price </c:v>
                      </c:pt>
                    </c:strCache>
                  </c:strRef>
                </c:tx>
                <c:spPr>
                  <a:ln w="28575" cap="rnd">
                    <a:solidFill>
                      <a:schemeClr val="accent1">
                        <a:shade val="55000"/>
                      </a:schemeClr>
                    </a:solidFill>
                    <a:round/>
                  </a:ln>
                  <a:effectLst/>
                </c:spPr>
                <c:marker>
                  <c:symbol val="circle"/>
                  <c:size val="5"/>
                  <c:spPr>
                    <a:solidFill>
                      <a:schemeClr val="accent1">
                        <a:shade val="55000"/>
                      </a:schemeClr>
                    </a:solidFill>
                    <a:ln w="9525">
                      <a:solidFill>
                        <a:schemeClr val="accent1">
                          <a:shade val="55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Top_10_Disc_Rating!$C$2:$C$11</c15:sqref>
                        </c15:formulaRef>
                      </c:ext>
                    </c:extLst>
                    <c:numCache>
                      <c:formatCode>_(* #,##0.00_);_(* \(#,##0.00\);_(* "-"??_);_(@_)</c:formatCode>
                      <c:ptCount val="10"/>
                      <c:pt idx="0">
                        <c:v>2800</c:v>
                      </c:pt>
                      <c:pt idx="1">
                        <c:v>4700</c:v>
                      </c:pt>
                      <c:pt idx="2">
                        <c:v>4500</c:v>
                      </c:pt>
                      <c:pt idx="3">
                        <c:v>986</c:v>
                      </c:pt>
                      <c:pt idx="4">
                        <c:v>80</c:v>
                      </c:pt>
                      <c:pt idx="5">
                        <c:v>360</c:v>
                      </c:pt>
                      <c:pt idx="6">
                        <c:v>382</c:v>
                      </c:pt>
                      <c:pt idx="7">
                        <c:v>680</c:v>
                      </c:pt>
                      <c:pt idx="8">
                        <c:v>684</c:v>
                      </c:pt>
                      <c:pt idx="9">
                        <c:v>2000</c:v>
                      </c:pt>
                    </c:numCache>
                  </c:numRef>
                </c:val>
                <c:smooth val="0"/>
                <c:extLst xmlns:c15="http://schemas.microsoft.com/office/drawing/2012/chart">
                  <c:ext xmlns:c16="http://schemas.microsoft.com/office/drawing/2014/chart" uri="{C3380CC4-5D6E-409C-BE32-E72D297353CC}">
                    <c16:uniqueId val="{00000003-8C44-4824-A18F-35BAD87D2B1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Top_10_Disc_Rating!$E$1</c15:sqref>
                        </c15:formulaRef>
                      </c:ext>
                    </c:extLst>
                    <c:strCache>
                      <c:ptCount val="1"/>
                      <c:pt idx="0">
                        <c:v>Discount </c:v>
                      </c:pt>
                    </c:strCache>
                  </c:strRef>
                </c:tx>
                <c:spPr>
                  <a:ln w="28575" cap="rnd">
                    <a:solidFill>
                      <a:schemeClr val="accent1">
                        <a:shade val="80000"/>
                      </a:schemeClr>
                    </a:solidFill>
                    <a:round/>
                  </a:ln>
                  <a:effectLst/>
                </c:spPr>
                <c:marker>
                  <c:symbol val="circle"/>
                  <c:size val="5"/>
                  <c:spPr>
                    <a:solidFill>
                      <a:schemeClr val="accent1">
                        <a:shade val="80000"/>
                      </a:schemeClr>
                    </a:solidFill>
                    <a:ln w="9525">
                      <a:solidFill>
                        <a:schemeClr val="accent1">
                          <a:shade val="80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Top_10_Disc_Rating!$E$2:$E$11</c15:sqref>
                        </c15:formulaRef>
                      </c:ext>
                    </c:extLst>
                    <c:numCache>
                      <c:formatCode>0.00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smooth val="0"/>
                <c:extLst xmlns:c15="http://schemas.microsoft.com/office/drawing/2012/chart">
                  <c:ext xmlns:c16="http://schemas.microsoft.com/office/drawing/2014/chart" uri="{C3380CC4-5D6E-409C-BE32-E72D297353CC}">
                    <c16:uniqueId val="{00000004-8C44-4824-A18F-35BAD87D2B19}"/>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Top_10_Disc_Rating!$F$1</c15:sqref>
                        </c15:formulaRef>
                      </c:ext>
                    </c:extLst>
                    <c:strCache>
                      <c:ptCount val="1"/>
                      <c:pt idx="0">
                        <c:v>Review</c:v>
                      </c:pt>
                    </c:strCache>
                  </c:strRef>
                </c:tx>
                <c:spPr>
                  <a:ln w="28575" cap="rnd">
                    <a:solidFill>
                      <a:schemeClr val="accent1">
                        <a:shade val="93000"/>
                      </a:schemeClr>
                    </a:solidFill>
                    <a:round/>
                  </a:ln>
                  <a:effectLst/>
                </c:spPr>
                <c:marker>
                  <c:symbol val="circle"/>
                  <c:size val="5"/>
                  <c:spPr>
                    <a:solidFill>
                      <a:schemeClr val="accent1">
                        <a:shade val="93000"/>
                      </a:schemeClr>
                    </a:solidFill>
                    <a:ln w="9525">
                      <a:solidFill>
                        <a:schemeClr val="accent1">
                          <a:shade val="93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Top_10_Disc_Rating!$F$2:$F$11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5-8C44-4824-A18F-35BAD87D2B19}"/>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Top_10_Disc_Rating!$G$1</c15:sqref>
                        </c15:formulaRef>
                      </c:ext>
                    </c:extLst>
                    <c:strCache>
                      <c:ptCount val="1"/>
                      <c:pt idx="0">
                        <c:v>Review</c:v>
                      </c:pt>
                    </c:strCache>
                  </c:strRef>
                </c:tx>
                <c:spPr>
                  <a:ln w="28575" cap="rnd">
                    <a:solidFill>
                      <a:schemeClr val="accent1">
                        <a:tint val="94000"/>
                      </a:schemeClr>
                    </a:solidFill>
                    <a:round/>
                  </a:ln>
                  <a:effectLst/>
                </c:spPr>
                <c:marker>
                  <c:symbol val="circle"/>
                  <c:size val="5"/>
                  <c:spPr>
                    <a:solidFill>
                      <a:schemeClr val="accent1">
                        <a:tint val="94000"/>
                      </a:schemeClr>
                    </a:solidFill>
                    <a:ln w="9525">
                      <a:solidFill>
                        <a:schemeClr val="accent1">
                          <a:tint val="94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Top_10_Disc_Rating!$G$2:$G$11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6-8C44-4824-A18F-35BAD87D2B1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Top_10_Disc_Rating!$I$1</c15:sqref>
                        </c15:formulaRef>
                      </c:ext>
                    </c:extLst>
                    <c:strCache>
                      <c:ptCount val="1"/>
                      <c:pt idx="0">
                        <c:v>absolute discount amount</c:v>
                      </c:pt>
                    </c:strCache>
                  </c:strRef>
                </c:tx>
                <c:spPr>
                  <a:ln w="28575" cap="rnd">
                    <a:solidFill>
                      <a:schemeClr val="accent1">
                        <a:tint val="69000"/>
                      </a:schemeClr>
                    </a:solidFill>
                    <a:round/>
                  </a:ln>
                  <a:effectLst/>
                </c:spPr>
                <c:marker>
                  <c:symbol val="circle"/>
                  <c:size val="5"/>
                  <c:spPr>
                    <a:solidFill>
                      <a:schemeClr val="accent1">
                        <a:tint val="69000"/>
                      </a:schemeClr>
                    </a:solidFill>
                    <a:ln w="9525">
                      <a:solidFill>
                        <a:schemeClr val="accent1">
                          <a:tint val="69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Top_10_Disc_Rating!$I$2:$I$11</c15:sqref>
                        </c15:formulaRef>
                      </c:ext>
                    </c:extLst>
                    <c:numCache>
                      <c:formatCode>General</c:formatCode>
                      <c:ptCount val="10"/>
                      <c:pt idx="0">
                        <c:v>1526</c:v>
                      </c:pt>
                      <c:pt idx="1">
                        <c:v>2585</c:v>
                      </c:pt>
                      <c:pt idx="2">
                        <c:v>2452</c:v>
                      </c:pt>
                      <c:pt idx="3">
                        <c:v>528</c:v>
                      </c:pt>
                      <c:pt idx="4">
                        <c:v>42</c:v>
                      </c:pt>
                      <c:pt idx="5">
                        <c:v>189</c:v>
                      </c:pt>
                      <c:pt idx="6">
                        <c:v>197</c:v>
                      </c:pt>
                      <c:pt idx="7">
                        <c:v>355</c:v>
                      </c:pt>
                      <c:pt idx="8">
                        <c:v>352</c:v>
                      </c:pt>
                      <c:pt idx="9">
                        <c:v>1000</c:v>
                      </c:pt>
                    </c:numCache>
                  </c:numRef>
                </c:val>
                <c:smooth val="0"/>
                <c:extLst xmlns:c15="http://schemas.microsoft.com/office/drawing/2012/chart">
                  <c:ext xmlns:c16="http://schemas.microsoft.com/office/drawing/2014/chart" uri="{C3380CC4-5D6E-409C-BE32-E72D297353CC}">
                    <c16:uniqueId val="{00000007-8C44-4824-A18F-35BAD87D2B19}"/>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Top_10_Disc_Rating!$J$1</c15:sqref>
                        </c15:formulaRef>
                      </c:ext>
                    </c:extLst>
                    <c:strCache>
                      <c:ptCount val="1"/>
                      <c:pt idx="0">
                        <c:v>Product Category</c:v>
                      </c:pt>
                    </c:strCache>
                  </c:strRef>
                </c:tx>
                <c:spPr>
                  <a:ln w="28575" cap="rnd">
                    <a:solidFill>
                      <a:schemeClr val="accent1">
                        <a:tint val="56000"/>
                      </a:schemeClr>
                    </a:solidFill>
                    <a:round/>
                  </a:ln>
                  <a:effectLst/>
                </c:spPr>
                <c:marker>
                  <c:symbol val="circle"/>
                  <c:size val="5"/>
                  <c:spPr>
                    <a:solidFill>
                      <a:schemeClr val="accent1">
                        <a:tint val="56000"/>
                      </a:schemeClr>
                    </a:solidFill>
                    <a:ln w="9525">
                      <a:solidFill>
                        <a:schemeClr val="accent1">
                          <a:tint val="56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8-8C44-4824-A18F-35BAD87D2B19}"/>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Top_10_Disc_Rating!$K$1</c15:sqref>
                        </c15:formulaRef>
                      </c:ext>
                    </c:extLst>
                    <c:strCache>
                      <c:ptCount val="1"/>
                      <c:pt idx="0">
                        <c:v>Discount Category</c:v>
                      </c:pt>
                    </c:strCache>
                  </c:strRef>
                </c:tx>
                <c:spPr>
                  <a:ln w="28575" cap="rnd">
                    <a:solidFill>
                      <a:schemeClr val="accent1">
                        <a:tint val="43000"/>
                      </a:schemeClr>
                    </a:solidFill>
                    <a:round/>
                  </a:ln>
                  <a:effectLst/>
                </c:spPr>
                <c:marker>
                  <c:symbol val="circle"/>
                  <c:size val="5"/>
                  <c:spPr>
                    <a:solidFill>
                      <a:schemeClr val="accent1">
                        <a:tint val="43000"/>
                      </a:schemeClr>
                    </a:solidFill>
                    <a:ln w="9525">
                      <a:solidFill>
                        <a:schemeClr val="accent1">
                          <a:tint val="43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9-8C44-4824-A18F-35BAD87D2B19}"/>
                  </c:ext>
                </c:extLst>
              </c15:ser>
            </c15:filteredLineSeries>
          </c:ext>
        </c:extLst>
      </c:lineChart>
      <c:catAx>
        <c:axId val="19058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31327"/>
        <c:crosses val="autoZero"/>
        <c:auto val="1"/>
        <c:lblAlgn val="ctr"/>
        <c:lblOffset val="100"/>
        <c:noMultiLvlLbl val="0"/>
      </c:catAx>
      <c:valAx>
        <c:axId val="190583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29407"/>
        <c:crosses val="autoZero"/>
        <c:crossBetween val="between"/>
      </c:valAx>
      <c:valAx>
        <c:axId val="164827388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76767"/>
        <c:crosses val="max"/>
        <c:crossBetween val="between"/>
      </c:valAx>
      <c:catAx>
        <c:axId val="1648276767"/>
        <c:scaling>
          <c:orientation val="minMax"/>
        </c:scaling>
        <c:delete val="1"/>
        <c:axPos val="b"/>
        <c:numFmt formatCode="General" sourceLinked="1"/>
        <c:majorTickMark val="out"/>
        <c:minorTickMark val="none"/>
        <c:tickLblPos val="nextTo"/>
        <c:crossAx val="16482738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0" i="0" u="none" strike="noStrike" baseline="0"/>
              <a:t>T</a:t>
            </a:r>
            <a:r>
              <a:rPr lang="en-KE" sz="1200" b="0" i="0" u="none" strike="noStrike" baseline="0"/>
              <a:t>op 10 products with the highest discounts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2"/>
          <c:order val="2"/>
          <c:tx>
            <c:strRef>
              <c:f>Top_10_Disc_Rating!$D$1</c:f>
              <c:strCache>
                <c:ptCount val="1"/>
                <c:pt idx="0">
                  <c:v>Discount</c:v>
                </c:pt>
              </c:strCache>
            </c:strRef>
          </c:tx>
          <c:spPr>
            <a:solidFill>
              <a:schemeClr val="accent5">
                <a:shade val="68000"/>
              </a:schemeClr>
            </a:solidFill>
            <a:ln>
              <a:noFill/>
            </a:ln>
            <a:effectLst/>
          </c:spPr>
          <c:invertIfNegative val="0"/>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Top_10_Disc_Rating!$D$2:$D$11</c:f>
              <c:numCache>
                <c:formatCode>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extLst>
            <c:ext xmlns:c16="http://schemas.microsoft.com/office/drawing/2014/chart" uri="{C3380CC4-5D6E-409C-BE32-E72D297353CC}">
              <c16:uniqueId val="{00000000-02AE-4735-844D-227120EB1006}"/>
            </c:ext>
          </c:extLst>
        </c:ser>
        <c:dLbls>
          <c:showLegendKey val="0"/>
          <c:showVal val="0"/>
          <c:showCatName val="0"/>
          <c:showSerName val="0"/>
          <c:showPercent val="0"/>
          <c:showBubbleSize val="0"/>
        </c:dLbls>
        <c:gapWidth val="219"/>
        <c:axId val="1847359855"/>
        <c:axId val="1847358415"/>
      </c:barChart>
      <c:lineChart>
        <c:grouping val="stacked"/>
        <c:varyColors val="0"/>
        <c:ser>
          <c:idx val="6"/>
          <c:order val="6"/>
          <c:tx>
            <c:strRef>
              <c:f>Top_10_Disc_Rating!$H$1</c:f>
              <c:strCache>
                <c:ptCount val="1"/>
                <c:pt idx="0">
                  <c:v>Ratingd</c:v>
                </c:pt>
              </c:strCache>
              <c:extLst xmlns:c15="http://schemas.microsoft.com/office/drawing/2012/chart"/>
            </c:strRef>
          </c:tx>
          <c:spPr>
            <a:ln w="28575" cap="rnd">
              <a:solidFill>
                <a:schemeClr val="accent5">
                  <a:tint val="81000"/>
                </a:schemeClr>
              </a:solidFill>
              <a:round/>
            </a:ln>
            <a:effectLst/>
          </c:spPr>
          <c:marker>
            <c:symbol val="circle"/>
            <c:size val="5"/>
            <c:spPr>
              <a:solidFill>
                <a:schemeClr val="accent5">
                  <a:tint val="81000"/>
                </a:schemeClr>
              </a:solidFill>
              <a:ln w="9525">
                <a:solidFill>
                  <a:schemeClr val="accent5">
                    <a:tint val="81000"/>
                  </a:schemeClr>
                </a:solidFill>
              </a:ln>
              <a:effectLst/>
            </c:spPr>
          </c:marker>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extLst xmlns:c15="http://schemas.microsoft.com/office/drawing/2012/chart"/>
            </c:strRef>
          </c:cat>
          <c:val>
            <c:numRef>
              <c:f>Top_10_Disc_Rating!$H$2:$H$11</c:f>
              <c:numCache>
                <c:formatCode>General</c:formatCode>
                <c:ptCount val="10"/>
                <c:pt idx="0">
                  <c:v>4.8</c:v>
                </c:pt>
                <c:pt idx="1">
                  <c:v>2.1</c:v>
                </c:pt>
                <c:pt idx="2">
                  <c:v>4.3</c:v>
                </c:pt>
                <c:pt idx="3">
                  <c:v>3</c:v>
                </c:pt>
                <c:pt idx="4">
                  <c:v>3.3</c:v>
                </c:pt>
                <c:pt idx="5">
                  <c:v>5</c:v>
                </c:pt>
                <c:pt idx="6">
                  <c:v>4.3</c:v>
                </c:pt>
                <c:pt idx="7">
                  <c:v>2.7</c:v>
                </c:pt>
                <c:pt idx="8">
                  <c:v>5</c:v>
                </c:pt>
                <c:pt idx="9">
                  <c:v>2.2999999999999998</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6-02AE-4735-844D-227120EB1006}"/>
            </c:ext>
          </c:extLst>
        </c:ser>
        <c:dLbls>
          <c:showLegendKey val="0"/>
          <c:showVal val="0"/>
          <c:showCatName val="0"/>
          <c:showSerName val="0"/>
          <c:showPercent val="0"/>
          <c:showBubbleSize val="0"/>
        </c:dLbls>
        <c:marker val="1"/>
        <c:smooth val="0"/>
        <c:axId val="1452943727"/>
        <c:axId val="1452934127"/>
        <c:extLst>
          <c:ext xmlns:c15="http://schemas.microsoft.com/office/drawing/2012/chart" uri="{02D57815-91ED-43cb-92C2-25804820EDAC}">
            <c15:filteredLineSeries>
              <c15:ser>
                <c:idx val="0"/>
                <c:order val="0"/>
                <c:tx>
                  <c:strRef>
                    <c:extLst>
                      <c:ext uri="{02D57815-91ED-43cb-92C2-25804820EDAC}">
                        <c15:formulaRef>
                          <c15:sqref>Top_10_Disc_Rating!$B$1</c15:sqref>
                        </c15:formulaRef>
                      </c:ext>
                    </c:extLst>
                    <c:strCache>
                      <c:ptCount val="1"/>
                      <c:pt idx="0">
                        <c:v>Current price</c:v>
                      </c:pt>
                    </c:strCache>
                  </c:strRef>
                </c:tx>
                <c:spPr>
                  <a:ln w="28575" cap="rnd">
                    <a:solidFill>
                      <a:schemeClr val="accent5">
                        <a:shade val="42000"/>
                      </a:schemeClr>
                    </a:solidFill>
                    <a:round/>
                  </a:ln>
                  <a:effectLst/>
                </c:spPr>
                <c:marker>
                  <c:symbol val="circle"/>
                  <c:size val="5"/>
                  <c:spPr>
                    <a:solidFill>
                      <a:schemeClr val="accent5">
                        <a:shade val="42000"/>
                      </a:schemeClr>
                    </a:solidFill>
                    <a:ln w="9525">
                      <a:solidFill>
                        <a:schemeClr val="accent5">
                          <a:shade val="42000"/>
                        </a:schemeClr>
                      </a:solidFill>
                    </a:ln>
                    <a:effectLst/>
                  </c:spPr>
                </c:marker>
                <c:cat>
                  <c:strRef>
                    <c:extLst>
                      <c:ex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c:ext uri="{02D57815-91ED-43cb-92C2-25804820EDAC}">
                        <c15:formulaRef>
                          <c15:sqref>Top_10_Disc_Rating!$B$2:$B$11</c15:sqref>
                        </c15:formulaRef>
                      </c:ext>
                    </c:extLst>
                    <c:numCache>
                      <c:formatCode>_(* #,##0.00_);_(* \(#,##0.00\);_(* "-"??_);_(@_)</c:formatCode>
                      <c:ptCount val="10"/>
                      <c:pt idx="0">
                        <c:v>1274</c:v>
                      </c:pt>
                      <c:pt idx="1">
                        <c:v>2115</c:v>
                      </c:pt>
                      <c:pt idx="2">
                        <c:v>2048</c:v>
                      </c:pt>
                      <c:pt idx="3">
                        <c:v>458</c:v>
                      </c:pt>
                      <c:pt idx="4">
                        <c:v>38</c:v>
                      </c:pt>
                      <c:pt idx="5">
                        <c:v>171</c:v>
                      </c:pt>
                      <c:pt idx="6">
                        <c:v>185</c:v>
                      </c:pt>
                      <c:pt idx="7">
                        <c:v>325</c:v>
                      </c:pt>
                      <c:pt idx="8">
                        <c:v>332</c:v>
                      </c:pt>
                      <c:pt idx="9">
                        <c:v>1000</c:v>
                      </c:pt>
                    </c:numCache>
                  </c:numRef>
                </c:val>
                <c:smooth val="0"/>
                <c:extLst>
                  <c:ext xmlns:c16="http://schemas.microsoft.com/office/drawing/2014/chart" uri="{C3380CC4-5D6E-409C-BE32-E72D297353CC}">
                    <c16:uniqueId val="{00000001-02AE-4735-844D-227120EB1006}"/>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Top_10_Disc_Rating!$C$1</c15:sqref>
                        </c15:formulaRef>
                      </c:ext>
                    </c:extLst>
                    <c:strCache>
                      <c:ptCount val="1"/>
                      <c:pt idx="0">
                        <c:v> old price </c:v>
                      </c:pt>
                    </c:strCache>
                  </c:strRef>
                </c:tx>
                <c:spPr>
                  <a:ln w="28575" cap="rnd">
                    <a:solidFill>
                      <a:schemeClr val="accent5">
                        <a:shade val="55000"/>
                      </a:schemeClr>
                    </a:solidFill>
                    <a:round/>
                  </a:ln>
                  <a:effectLst/>
                </c:spPr>
                <c:marker>
                  <c:symbol val="circle"/>
                  <c:size val="5"/>
                  <c:spPr>
                    <a:solidFill>
                      <a:schemeClr val="accent5">
                        <a:shade val="55000"/>
                      </a:schemeClr>
                    </a:solidFill>
                    <a:ln w="9525">
                      <a:solidFill>
                        <a:schemeClr val="accent5">
                          <a:shade val="55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Top_10_Disc_Rating!$C$2:$C$11</c15:sqref>
                        </c15:formulaRef>
                      </c:ext>
                    </c:extLst>
                    <c:numCache>
                      <c:formatCode>_(* #,##0.00_);_(* \(#,##0.00\);_(* "-"??_);_(@_)</c:formatCode>
                      <c:ptCount val="10"/>
                      <c:pt idx="0">
                        <c:v>2800</c:v>
                      </c:pt>
                      <c:pt idx="1">
                        <c:v>4700</c:v>
                      </c:pt>
                      <c:pt idx="2">
                        <c:v>4500</c:v>
                      </c:pt>
                      <c:pt idx="3">
                        <c:v>986</c:v>
                      </c:pt>
                      <c:pt idx="4">
                        <c:v>80</c:v>
                      </c:pt>
                      <c:pt idx="5">
                        <c:v>360</c:v>
                      </c:pt>
                      <c:pt idx="6">
                        <c:v>382</c:v>
                      </c:pt>
                      <c:pt idx="7">
                        <c:v>680</c:v>
                      </c:pt>
                      <c:pt idx="8">
                        <c:v>684</c:v>
                      </c:pt>
                      <c:pt idx="9">
                        <c:v>2000</c:v>
                      </c:pt>
                    </c:numCache>
                  </c:numRef>
                </c:val>
                <c:smooth val="0"/>
                <c:extLst xmlns:c15="http://schemas.microsoft.com/office/drawing/2012/chart">
                  <c:ext xmlns:c16="http://schemas.microsoft.com/office/drawing/2014/chart" uri="{C3380CC4-5D6E-409C-BE32-E72D297353CC}">
                    <c16:uniqueId val="{00000002-02AE-4735-844D-227120EB1006}"/>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Top_10_Disc_Rating!$E$1</c15:sqref>
                        </c15:formulaRef>
                      </c:ext>
                    </c:extLst>
                    <c:strCache>
                      <c:ptCount val="1"/>
                      <c:pt idx="0">
                        <c:v>Discount </c:v>
                      </c:pt>
                    </c:strCache>
                  </c:strRef>
                </c:tx>
                <c:spPr>
                  <a:ln w="28575" cap="rnd">
                    <a:solidFill>
                      <a:schemeClr val="accent5">
                        <a:shade val="80000"/>
                      </a:schemeClr>
                    </a:solidFill>
                    <a:round/>
                  </a:ln>
                  <a:effectLst/>
                </c:spPr>
                <c:marker>
                  <c:symbol val="circle"/>
                  <c:size val="5"/>
                  <c:spPr>
                    <a:solidFill>
                      <a:schemeClr val="accent5">
                        <a:shade val="80000"/>
                      </a:schemeClr>
                    </a:solidFill>
                    <a:ln w="9525">
                      <a:solidFill>
                        <a:schemeClr val="accent5">
                          <a:shade val="80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Top_10_Disc_Rating!$E$2:$E$11</c15:sqref>
                        </c15:formulaRef>
                      </c:ext>
                    </c:extLst>
                    <c:numCache>
                      <c:formatCode>0.00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smooth val="0"/>
                <c:extLst xmlns:c15="http://schemas.microsoft.com/office/drawing/2012/chart">
                  <c:ext xmlns:c16="http://schemas.microsoft.com/office/drawing/2014/chart" uri="{C3380CC4-5D6E-409C-BE32-E72D297353CC}">
                    <c16:uniqueId val="{00000003-02AE-4735-844D-227120EB1006}"/>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Top_10_Disc_Rating!$F$1</c15:sqref>
                        </c15:formulaRef>
                      </c:ext>
                    </c:extLst>
                    <c:strCache>
                      <c:ptCount val="1"/>
                      <c:pt idx="0">
                        <c:v>Review</c:v>
                      </c:pt>
                    </c:strCache>
                  </c:strRef>
                </c:tx>
                <c:spPr>
                  <a:ln w="28575" cap="rnd">
                    <a:solidFill>
                      <a:schemeClr val="accent5">
                        <a:shade val="93000"/>
                      </a:schemeClr>
                    </a:solidFill>
                    <a:round/>
                  </a:ln>
                  <a:effectLst/>
                </c:spPr>
                <c:marker>
                  <c:symbol val="circle"/>
                  <c:size val="5"/>
                  <c:spPr>
                    <a:solidFill>
                      <a:schemeClr val="accent5">
                        <a:shade val="93000"/>
                      </a:schemeClr>
                    </a:solidFill>
                    <a:ln w="9525">
                      <a:solidFill>
                        <a:schemeClr val="accent5">
                          <a:shade val="93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Top_10_Disc_Rating!$F$2:$F$11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4-02AE-4735-844D-227120EB1006}"/>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Top_10_Disc_Rating!$G$1</c15:sqref>
                        </c15:formulaRef>
                      </c:ext>
                    </c:extLst>
                    <c:strCache>
                      <c:ptCount val="1"/>
                      <c:pt idx="0">
                        <c:v>Review</c:v>
                      </c:pt>
                    </c:strCache>
                  </c:strRef>
                </c:tx>
                <c:spPr>
                  <a:ln w="28575" cap="rnd">
                    <a:solidFill>
                      <a:schemeClr val="accent5">
                        <a:tint val="94000"/>
                      </a:schemeClr>
                    </a:solidFill>
                    <a:round/>
                  </a:ln>
                  <a:effectLst/>
                </c:spPr>
                <c:marker>
                  <c:symbol val="circle"/>
                  <c:size val="5"/>
                  <c:spPr>
                    <a:solidFill>
                      <a:schemeClr val="accent5">
                        <a:tint val="94000"/>
                      </a:schemeClr>
                    </a:solidFill>
                    <a:ln w="9525">
                      <a:solidFill>
                        <a:schemeClr val="accent5">
                          <a:tint val="94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Top_10_Disc_Rating!$G$2:$G$11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5-02AE-4735-844D-227120EB1006}"/>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Top_10_Disc_Rating!$I$1</c15:sqref>
                        </c15:formulaRef>
                      </c:ext>
                    </c:extLst>
                    <c:strCache>
                      <c:ptCount val="1"/>
                      <c:pt idx="0">
                        <c:v>absolute discount amount</c:v>
                      </c:pt>
                    </c:strCache>
                  </c:strRef>
                </c:tx>
                <c:spPr>
                  <a:ln w="28575" cap="rnd">
                    <a:solidFill>
                      <a:schemeClr val="accent5">
                        <a:tint val="69000"/>
                      </a:schemeClr>
                    </a:solidFill>
                    <a:round/>
                  </a:ln>
                  <a:effectLst/>
                </c:spPr>
                <c:marker>
                  <c:symbol val="circle"/>
                  <c:size val="5"/>
                  <c:spPr>
                    <a:solidFill>
                      <a:schemeClr val="accent5">
                        <a:tint val="69000"/>
                      </a:schemeClr>
                    </a:solidFill>
                    <a:ln w="9525">
                      <a:solidFill>
                        <a:schemeClr val="accent5">
                          <a:tint val="69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Top_10_Disc_Rating!$I$2:$I$11</c15:sqref>
                        </c15:formulaRef>
                      </c:ext>
                    </c:extLst>
                    <c:numCache>
                      <c:formatCode>General</c:formatCode>
                      <c:ptCount val="10"/>
                      <c:pt idx="0">
                        <c:v>1526</c:v>
                      </c:pt>
                      <c:pt idx="1">
                        <c:v>2585</c:v>
                      </c:pt>
                      <c:pt idx="2">
                        <c:v>2452</c:v>
                      </c:pt>
                      <c:pt idx="3">
                        <c:v>528</c:v>
                      </c:pt>
                      <c:pt idx="4">
                        <c:v>42</c:v>
                      </c:pt>
                      <c:pt idx="5">
                        <c:v>189</c:v>
                      </c:pt>
                      <c:pt idx="6">
                        <c:v>197</c:v>
                      </c:pt>
                      <c:pt idx="7">
                        <c:v>355</c:v>
                      </c:pt>
                      <c:pt idx="8">
                        <c:v>352</c:v>
                      </c:pt>
                      <c:pt idx="9">
                        <c:v>1000</c:v>
                      </c:pt>
                    </c:numCache>
                  </c:numRef>
                </c:val>
                <c:smooth val="0"/>
                <c:extLst xmlns:c15="http://schemas.microsoft.com/office/drawing/2012/chart">
                  <c:ext xmlns:c16="http://schemas.microsoft.com/office/drawing/2014/chart" uri="{C3380CC4-5D6E-409C-BE32-E72D297353CC}">
                    <c16:uniqueId val="{00000007-02AE-4735-844D-227120EB1006}"/>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Top_10_Disc_Rating!$J$1</c15:sqref>
                        </c15:formulaRef>
                      </c:ext>
                    </c:extLst>
                    <c:strCache>
                      <c:ptCount val="1"/>
                      <c:pt idx="0">
                        <c:v>Product Category</c:v>
                      </c:pt>
                    </c:strCache>
                  </c:strRef>
                </c:tx>
                <c:spPr>
                  <a:ln w="28575" cap="rnd">
                    <a:solidFill>
                      <a:schemeClr val="accent5">
                        <a:tint val="56000"/>
                      </a:schemeClr>
                    </a:solidFill>
                    <a:round/>
                  </a:ln>
                  <a:effectLst/>
                </c:spPr>
                <c:marker>
                  <c:symbol val="circle"/>
                  <c:size val="5"/>
                  <c:spPr>
                    <a:solidFill>
                      <a:schemeClr val="accent5">
                        <a:tint val="56000"/>
                      </a:schemeClr>
                    </a:solidFill>
                    <a:ln w="9525">
                      <a:solidFill>
                        <a:schemeClr val="accent5">
                          <a:tint val="56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8-02AE-4735-844D-227120EB1006}"/>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Top_10_Disc_Rating!$K$1</c15:sqref>
                        </c15:formulaRef>
                      </c:ext>
                    </c:extLst>
                    <c:strCache>
                      <c:ptCount val="1"/>
                      <c:pt idx="0">
                        <c:v>Discount Category</c:v>
                      </c:pt>
                    </c:strCache>
                  </c:strRef>
                </c:tx>
                <c:spPr>
                  <a:ln w="28575" cap="rnd">
                    <a:solidFill>
                      <a:schemeClr val="accent5">
                        <a:tint val="43000"/>
                      </a:schemeClr>
                    </a:solidFill>
                    <a:round/>
                  </a:ln>
                  <a:effectLst/>
                </c:spPr>
                <c:marker>
                  <c:symbol val="circle"/>
                  <c:size val="5"/>
                  <c:spPr>
                    <a:solidFill>
                      <a:schemeClr val="accent5">
                        <a:tint val="43000"/>
                      </a:schemeClr>
                    </a:solidFill>
                    <a:ln w="9525">
                      <a:solidFill>
                        <a:schemeClr val="accent5">
                          <a:tint val="43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9-02AE-4735-844D-227120EB1006}"/>
                  </c:ext>
                </c:extLst>
              </c15:ser>
            </c15:filteredLineSeries>
          </c:ext>
        </c:extLst>
      </c:lineChart>
      <c:catAx>
        <c:axId val="14529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2934127"/>
        <c:crosses val="autoZero"/>
        <c:auto val="1"/>
        <c:lblAlgn val="ctr"/>
        <c:lblOffset val="100"/>
        <c:noMultiLvlLbl val="0"/>
      </c:catAx>
      <c:valAx>
        <c:axId val="145293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2943727"/>
        <c:crosses val="autoZero"/>
        <c:crossBetween val="between"/>
      </c:valAx>
      <c:valAx>
        <c:axId val="18473584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crossAx val="1847359855"/>
        <c:crosses val="max"/>
        <c:crossBetween val="between"/>
      </c:valAx>
      <c:catAx>
        <c:axId val="1847359855"/>
        <c:scaling>
          <c:orientation val="minMax"/>
        </c:scaling>
        <c:delete val="1"/>
        <c:axPos val="b"/>
        <c:numFmt formatCode="General" sourceLinked="1"/>
        <c:majorTickMark val="out"/>
        <c:minorTickMark val="none"/>
        <c:tickLblPos val="nextTo"/>
        <c:crossAx val="184735841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[Jumia_Product_performance_Analysis.xlsx]Pivot!PivotTable112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solidFill>
              <a:schemeClr val="accent1"/>
            </a:solidFill>
            <a:ln>
              <a:noFill/>
            </a:ln>
            <a:effectLst/>
          </c:spPr>
          <c:invertIfNegative val="0"/>
          <c:cat>
            <c:strRef>
              <c:f>Pivot!$L$4:$L$7</c:f>
              <c:strCache>
                <c:ptCount val="3"/>
                <c:pt idx="0">
                  <c:v>High Discount</c:v>
                </c:pt>
                <c:pt idx="1">
                  <c:v>Low Discount</c:v>
                </c:pt>
                <c:pt idx="2">
                  <c:v>Medium Discount</c:v>
                </c:pt>
              </c:strCache>
            </c:strRef>
          </c:cat>
          <c:val>
            <c:numRef>
              <c:f>Pivot!$M$4:$M$7</c:f>
              <c:numCache>
                <c:formatCode>General</c:formatCode>
                <c:ptCount val="3"/>
                <c:pt idx="0">
                  <c:v>31</c:v>
                </c:pt>
                <c:pt idx="1">
                  <c:v>4</c:v>
                </c:pt>
                <c:pt idx="2">
                  <c:v>21</c:v>
                </c:pt>
              </c:numCache>
            </c:numRef>
          </c:val>
          <c:extLst>
            <c:ext xmlns:c16="http://schemas.microsoft.com/office/drawing/2014/chart" uri="{C3380CC4-5D6E-409C-BE32-E72D297353CC}">
              <c16:uniqueId val="{00000000-153F-44AE-82F1-3780AB369553}"/>
            </c:ext>
          </c:extLst>
        </c:ser>
        <c:dLbls>
          <c:showLegendKey val="0"/>
          <c:showVal val="0"/>
          <c:showCatName val="0"/>
          <c:showSerName val="0"/>
          <c:showPercent val="0"/>
          <c:showBubbleSize val="0"/>
        </c:dLbls>
        <c:gapWidth val="219"/>
        <c:overlap val="-27"/>
        <c:axId val="116375823"/>
        <c:axId val="116372463"/>
      </c:barChart>
      <c:catAx>
        <c:axId val="11637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372463"/>
        <c:crosses val="autoZero"/>
        <c:auto val="1"/>
        <c:lblAlgn val="ctr"/>
        <c:lblOffset val="100"/>
        <c:noMultiLvlLbl val="0"/>
      </c:catAx>
      <c:valAx>
        <c:axId val="11637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37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[Jumia_Product_performance_Analysis.xlsx]Pivot!PivotTable111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accent1"/>
            </a:solidFill>
            <a:ln>
              <a:noFill/>
            </a:ln>
            <a:effectLst/>
          </c:spPr>
          <c:invertIfNegative val="0"/>
          <c:cat>
            <c:strRef>
              <c:f>Pivot!$H$3:$H$6</c:f>
              <c:strCache>
                <c:ptCount val="3"/>
                <c:pt idx="0">
                  <c:v>Average</c:v>
                </c:pt>
                <c:pt idx="1">
                  <c:v>Excellent</c:v>
                </c:pt>
                <c:pt idx="2">
                  <c:v>Poor</c:v>
                </c:pt>
              </c:strCache>
            </c:strRef>
          </c:cat>
          <c:val>
            <c:numRef>
              <c:f>Pivot!$I$3:$I$6</c:f>
              <c:numCache>
                <c:formatCode>General</c:formatCode>
                <c:ptCount val="3"/>
                <c:pt idx="0">
                  <c:v>9</c:v>
                </c:pt>
                <c:pt idx="1">
                  <c:v>35</c:v>
                </c:pt>
                <c:pt idx="2">
                  <c:v>12</c:v>
                </c:pt>
              </c:numCache>
            </c:numRef>
          </c:val>
          <c:extLst>
            <c:ext xmlns:c16="http://schemas.microsoft.com/office/drawing/2014/chart" uri="{C3380CC4-5D6E-409C-BE32-E72D297353CC}">
              <c16:uniqueId val="{00000000-B532-4253-A5FE-153BBFC68EDE}"/>
            </c:ext>
          </c:extLst>
        </c:ser>
        <c:dLbls>
          <c:showLegendKey val="0"/>
          <c:showVal val="0"/>
          <c:showCatName val="0"/>
          <c:showSerName val="0"/>
          <c:showPercent val="0"/>
          <c:showBubbleSize val="0"/>
        </c:dLbls>
        <c:gapWidth val="219"/>
        <c:overlap val="-27"/>
        <c:axId val="2071214751"/>
        <c:axId val="2071215231"/>
      </c:barChart>
      <c:catAx>
        <c:axId val="20712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15231"/>
        <c:crosses val="autoZero"/>
        <c:auto val="1"/>
        <c:lblAlgn val="ctr"/>
        <c:lblOffset val="100"/>
        <c:noMultiLvlLbl val="0"/>
      </c:catAx>
      <c:valAx>
        <c:axId val="207121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Product</a:t>
            </a:r>
            <a:r>
              <a:rPr lang="en-US" baseline="0"/>
              <a:t> Reviews Compared to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5"/>
          <c:order val="5"/>
          <c:tx>
            <c:strRef>
              <c:f>Top_10_Reviews!$G$1</c:f>
              <c:strCache>
                <c:ptCount val="1"/>
                <c:pt idx="0">
                  <c:v>Review</c:v>
                </c:pt>
              </c:strCache>
            </c:strRef>
          </c:tx>
          <c:spPr>
            <a:solidFill>
              <a:schemeClr val="accent1">
                <a:shade val="93000"/>
              </a:schemeClr>
            </a:solidFill>
            <a:ln>
              <a:noFill/>
            </a:ln>
            <a:effectLst/>
          </c:spPr>
          <c:invertIfNegative val="0"/>
          <c:cat>
            <c:strRef>
              <c:f>Top_10_Reviews!$A$2:$A$11</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f>Top_10_Reviews!$G$2:$G$11</c:f>
              <c:numCache>
                <c:formatCode>General</c:formatCode>
                <c:ptCount val="10"/>
                <c:pt idx="0">
                  <c:v>69</c:v>
                </c:pt>
                <c:pt idx="1">
                  <c:v>55</c:v>
                </c:pt>
                <c:pt idx="2">
                  <c:v>49</c:v>
                </c:pt>
                <c:pt idx="3">
                  <c:v>44</c:v>
                </c:pt>
                <c:pt idx="4">
                  <c:v>36</c:v>
                </c:pt>
                <c:pt idx="5">
                  <c:v>32</c:v>
                </c:pt>
                <c:pt idx="6">
                  <c:v>24</c:v>
                </c:pt>
                <c:pt idx="7">
                  <c:v>20</c:v>
                </c:pt>
                <c:pt idx="8">
                  <c:v>20</c:v>
                </c:pt>
                <c:pt idx="9">
                  <c:v>17</c:v>
                </c:pt>
              </c:numCache>
            </c:numRef>
          </c:val>
          <c:extLst>
            <c:ext xmlns:c16="http://schemas.microsoft.com/office/drawing/2014/chart" uri="{C3380CC4-5D6E-409C-BE32-E72D297353CC}">
              <c16:uniqueId val="{00000000-AD5C-42E2-849A-68F3E3B70E68}"/>
            </c:ext>
          </c:extLst>
        </c:ser>
        <c:dLbls>
          <c:showLegendKey val="0"/>
          <c:showVal val="0"/>
          <c:showCatName val="0"/>
          <c:showSerName val="0"/>
          <c:showPercent val="0"/>
          <c:showBubbleSize val="0"/>
        </c:dLbls>
        <c:gapWidth val="219"/>
        <c:axId val="2074326783"/>
        <c:axId val="2074317663"/>
        <c:extLst>
          <c:ext xmlns:c15="http://schemas.microsoft.com/office/drawing/2012/chart" uri="{02D57815-91ED-43cb-92C2-25804820EDAC}">
            <c15:filteredBarSeries>
              <c15:ser>
                <c:idx val="0"/>
                <c:order val="0"/>
                <c:tx>
                  <c:strRef>
                    <c:extLst>
                      <c:ext uri="{02D57815-91ED-43cb-92C2-25804820EDAC}">
                        <c15:formulaRef>
                          <c15:sqref>Top_10_Reviews!$B$1</c15:sqref>
                        </c15:formulaRef>
                      </c:ext>
                    </c:extLst>
                    <c:strCache>
                      <c:ptCount val="1"/>
                      <c:pt idx="0">
                        <c:v>Current price</c:v>
                      </c:pt>
                    </c:strCache>
                  </c:strRef>
                </c:tx>
                <c:spPr>
                  <a:solidFill>
                    <a:schemeClr val="accent1">
                      <a:tint val="43000"/>
                    </a:schemeClr>
                  </a:solidFill>
                  <a:ln>
                    <a:noFill/>
                  </a:ln>
                  <a:effectLst/>
                </c:spPr>
                <c:invertIfNegative val="0"/>
                <c:cat>
                  <c:strRef>
                    <c:extLst>
                      <c:ex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uri="{02D57815-91ED-43cb-92C2-25804820EDAC}">
                        <c15:formulaRef>
                          <c15:sqref>Top_10_Reviews!$B$2:$B$11</c15:sqref>
                        </c15:formulaRef>
                      </c:ext>
                    </c:extLst>
                    <c:numCache>
                      <c:formatCode>_(* #,##0.00_);_(* \(#,##0.00\);_(* "-"??_);_(@_)</c:formatCode>
                      <c:ptCount val="10"/>
                      <c:pt idx="0">
                        <c:v>445</c:v>
                      </c:pt>
                      <c:pt idx="1">
                        <c:v>2319</c:v>
                      </c:pt>
                      <c:pt idx="2">
                        <c:v>420</c:v>
                      </c:pt>
                      <c:pt idx="3">
                        <c:v>998</c:v>
                      </c:pt>
                      <c:pt idx="4">
                        <c:v>389</c:v>
                      </c:pt>
                      <c:pt idx="5">
                        <c:v>1980</c:v>
                      </c:pt>
                      <c:pt idx="6">
                        <c:v>2199</c:v>
                      </c:pt>
                      <c:pt idx="7">
                        <c:v>1758</c:v>
                      </c:pt>
                      <c:pt idx="8">
                        <c:v>1940</c:v>
                      </c:pt>
                      <c:pt idx="9">
                        <c:v>382</c:v>
                      </c:pt>
                    </c:numCache>
                  </c:numRef>
                </c:val>
                <c:extLst>
                  <c:ext xmlns:c16="http://schemas.microsoft.com/office/drawing/2014/chart" uri="{C3380CC4-5D6E-409C-BE32-E72D297353CC}">
                    <c16:uniqueId val="{00000002-AD5C-42E2-849A-68F3E3B70E6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Top_10_Reviews!$C$1</c15:sqref>
                        </c15:formulaRef>
                      </c:ext>
                    </c:extLst>
                    <c:strCache>
                      <c:ptCount val="1"/>
                      <c:pt idx="0">
                        <c:v> old price </c:v>
                      </c:pt>
                    </c:strCache>
                  </c:strRef>
                </c:tx>
                <c:spPr>
                  <a:solidFill>
                    <a:schemeClr val="accent1">
                      <a:tint val="56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Top_10_Reviews!$C$2:$C$11</c15:sqref>
                        </c15:formulaRef>
                      </c:ext>
                    </c:extLst>
                    <c:numCache>
                      <c:formatCode>_(* #,##0.00_);_(* \(#,##0.00\);_(* "-"??_);_(@_)</c:formatCode>
                      <c:ptCount val="10"/>
                      <c:pt idx="0">
                        <c:v>873</c:v>
                      </c:pt>
                      <c:pt idx="1">
                        <c:v>3032</c:v>
                      </c:pt>
                      <c:pt idx="2">
                        <c:v>647</c:v>
                      </c:pt>
                      <c:pt idx="3">
                        <c:v>1966</c:v>
                      </c:pt>
                      <c:pt idx="4">
                        <c:v>656</c:v>
                      </c:pt>
                      <c:pt idx="5">
                        <c:v>2699</c:v>
                      </c:pt>
                      <c:pt idx="6">
                        <c:v>2923</c:v>
                      </c:pt>
                      <c:pt idx="7">
                        <c:v>2499</c:v>
                      </c:pt>
                      <c:pt idx="8">
                        <c:v>2650</c:v>
                      </c:pt>
                      <c:pt idx="9">
                        <c:v>700</c:v>
                      </c:pt>
                    </c:numCache>
                  </c:numRef>
                </c:val>
                <c:extLst>
                  <c:ext xmlns:c16="http://schemas.microsoft.com/office/drawing/2014/chart" uri="{C3380CC4-5D6E-409C-BE32-E72D297353CC}">
                    <c16:uniqueId val="{00000003-AD5C-42E2-849A-68F3E3B70E6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Top_10_Reviews!$D$1</c15:sqref>
                        </c15:formulaRef>
                      </c:ext>
                    </c:extLst>
                    <c:strCache>
                      <c:ptCount val="1"/>
                      <c:pt idx="0">
                        <c:v>Discount</c:v>
                      </c:pt>
                    </c:strCache>
                  </c:strRef>
                </c:tx>
                <c:spPr>
                  <a:solidFill>
                    <a:schemeClr val="accent1">
                      <a:tint val="69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Top_10_Reviews!$D$2:$D$11</c15:sqref>
                        </c15:formulaRef>
                      </c:ext>
                    </c:extLst>
                    <c:numCache>
                      <c:formatCode>0%</c:formatCode>
                      <c:ptCount val="10"/>
                      <c:pt idx="0">
                        <c:v>0.49</c:v>
                      </c:pt>
                      <c:pt idx="1">
                        <c:v>0.24</c:v>
                      </c:pt>
                      <c:pt idx="2">
                        <c:v>0.35</c:v>
                      </c:pt>
                      <c:pt idx="3">
                        <c:v>0.49</c:v>
                      </c:pt>
                      <c:pt idx="4">
                        <c:v>0.41</c:v>
                      </c:pt>
                      <c:pt idx="5">
                        <c:v>0.27</c:v>
                      </c:pt>
                      <c:pt idx="6">
                        <c:v>0.25</c:v>
                      </c:pt>
                      <c:pt idx="7">
                        <c:v>0.3</c:v>
                      </c:pt>
                      <c:pt idx="8">
                        <c:v>0.27</c:v>
                      </c:pt>
                      <c:pt idx="9">
                        <c:v>0.45</c:v>
                      </c:pt>
                    </c:numCache>
                  </c:numRef>
                </c:val>
                <c:extLst>
                  <c:ext xmlns:c16="http://schemas.microsoft.com/office/drawing/2014/chart" uri="{C3380CC4-5D6E-409C-BE32-E72D297353CC}">
                    <c16:uniqueId val="{00000004-AD5C-42E2-849A-68F3E3B70E6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Top_10_Reviews!$E$1</c15:sqref>
                        </c15:formulaRef>
                      </c:ext>
                    </c:extLst>
                    <c:strCache>
                      <c:ptCount val="1"/>
                      <c:pt idx="0">
                        <c:v>Discount </c:v>
                      </c:pt>
                    </c:strCache>
                  </c:strRef>
                </c:tx>
                <c:spPr>
                  <a:solidFill>
                    <a:schemeClr val="accent1">
                      <a:tint val="81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Top_10_Reviews!$E$2:$E$11</c15:sqref>
                        </c15:formulaRef>
                      </c:ext>
                    </c:extLst>
                    <c:numCache>
                      <c:formatCode>0.00</c:formatCode>
                      <c:ptCount val="10"/>
                      <c:pt idx="0">
                        <c:v>0.49</c:v>
                      </c:pt>
                      <c:pt idx="1">
                        <c:v>0.24</c:v>
                      </c:pt>
                      <c:pt idx="2">
                        <c:v>0.35</c:v>
                      </c:pt>
                      <c:pt idx="3">
                        <c:v>0.49</c:v>
                      </c:pt>
                      <c:pt idx="4">
                        <c:v>0.41</c:v>
                      </c:pt>
                      <c:pt idx="5">
                        <c:v>0.27</c:v>
                      </c:pt>
                      <c:pt idx="6">
                        <c:v>0.25</c:v>
                      </c:pt>
                      <c:pt idx="7">
                        <c:v>0.3</c:v>
                      </c:pt>
                      <c:pt idx="8">
                        <c:v>0.27</c:v>
                      </c:pt>
                      <c:pt idx="9">
                        <c:v>0.45</c:v>
                      </c:pt>
                    </c:numCache>
                  </c:numRef>
                </c:val>
                <c:extLst>
                  <c:ext xmlns:c16="http://schemas.microsoft.com/office/drawing/2014/chart" uri="{C3380CC4-5D6E-409C-BE32-E72D297353CC}">
                    <c16:uniqueId val="{00000005-AD5C-42E2-849A-68F3E3B70E6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Top_10_Reviews!$F$1</c15:sqref>
                        </c15:formulaRef>
                      </c:ext>
                    </c:extLst>
                    <c:strCache>
                      <c:ptCount val="1"/>
                      <c:pt idx="0">
                        <c:v>Review</c:v>
                      </c:pt>
                    </c:strCache>
                  </c:strRef>
                </c:tx>
                <c:spPr>
                  <a:solidFill>
                    <a:schemeClr val="accent1">
                      <a:tint val="94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Top_10_Reviews!$F$2:$F$11</c15:sqref>
                        </c15:formulaRef>
                      </c:ext>
                    </c:extLst>
                    <c:numCache>
                      <c:formatCode>General</c:formatCode>
                      <c:ptCount val="10"/>
                      <c:pt idx="0">
                        <c:v>-69</c:v>
                      </c:pt>
                      <c:pt idx="1">
                        <c:v>-55</c:v>
                      </c:pt>
                      <c:pt idx="2">
                        <c:v>-49</c:v>
                      </c:pt>
                      <c:pt idx="3">
                        <c:v>-44</c:v>
                      </c:pt>
                      <c:pt idx="4">
                        <c:v>-36</c:v>
                      </c:pt>
                      <c:pt idx="5">
                        <c:v>-32</c:v>
                      </c:pt>
                      <c:pt idx="6">
                        <c:v>-24</c:v>
                      </c:pt>
                      <c:pt idx="7">
                        <c:v>-20</c:v>
                      </c:pt>
                      <c:pt idx="8">
                        <c:v>-20</c:v>
                      </c:pt>
                      <c:pt idx="9">
                        <c:v>-17</c:v>
                      </c:pt>
                    </c:numCache>
                  </c:numRef>
                </c:val>
                <c:extLst>
                  <c:ext xmlns:c16="http://schemas.microsoft.com/office/drawing/2014/chart" uri="{C3380CC4-5D6E-409C-BE32-E72D297353CC}">
                    <c16:uniqueId val="{00000006-AD5C-42E2-849A-68F3E3B70E6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Top_10_Reviews!$I$1</c15:sqref>
                        </c15:formulaRef>
                      </c:ext>
                    </c:extLst>
                    <c:strCache>
                      <c:ptCount val="1"/>
                      <c:pt idx="0">
                        <c:v>absolute discount amount</c:v>
                      </c:pt>
                    </c:strCache>
                  </c:strRef>
                </c:tx>
                <c:spPr>
                  <a:solidFill>
                    <a:schemeClr val="accent1">
                      <a:shade val="68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Top_10_Reviews!$I$2:$I$11</c15:sqref>
                        </c15:formulaRef>
                      </c:ext>
                    </c:extLst>
                    <c:numCache>
                      <c:formatCode>General</c:formatCode>
                      <c:ptCount val="10"/>
                      <c:pt idx="0">
                        <c:v>428</c:v>
                      </c:pt>
                      <c:pt idx="1">
                        <c:v>713</c:v>
                      </c:pt>
                      <c:pt idx="2">
                        <c:v>227</c:v>
                      </c:pt>
                      <c:pt idx="3">
                        <c:v>968</c:v>
                      </c:pt>
                      <c:pt idx="4">
                        <c:v>267</c:v>
                      </c:pt>
                      <c:pt idx="5">
                        <c:v>719</c:v>
                      </c:pt>
                      <c:pt idx="6">
                        <c:v>724</c:v>
                      </c:pt>
                      <c:pt idx="7">
                        <c:v>741</c:v>
                      </c:pt>
                      <c:pt idx="8">
                        <c:v>710</c:v>
                      </c:pt>
                      <c:pt idx="9">
                        <c:v>318</c:v>
                      </c:pt>
                    </c:numCache>
                  </c:numRef>
                </c:val>
                <c:extLst>
                  <c:ext xmlns:c16="http://schemas.microsoft.com/office/drawing/2014/chart" uri="{C3380CC4-5D6E-409C-BE32-E72D297353CC}">
                    <c16:uniqueId val="{00000007-AD5C-42E2-849A-68F3E3B70E6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Top_10_Reviews!$J$1</c15:sqref>
                        </c15:formulaRef>
                      </c:ext>
                    </c:extLst>
                    <c:strCache>
                      <c:ptCount val="1"/>
                      <c:pt idx="0">
                        <c:v>Product Category</c:v>
                      </c:pt>
                    </c:strCache>
                  </c:strRef>
                </c:tx>
                <c:spPr>
                  <a:solidFill>
                    <a:schemeClr val="accent1">
                      <a:shade val="55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8-AD5C-42E2-849A-68F3E3B70E68}"/>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Top_10_Reviews!$K$1</c15:sqref>
                        </c15:formulaRef>
                      </c:ext>
                    </c:extLst>
                    <c:strCache>
                      <c:ptCount val="1"/>
                      <c:pt idx="0">
                        <c:v>Discount Category</c:v>
                      </c:pt>
                    </c:strCache>
                  </c:strRef>
                </c:tx>
                <c:spPr>
                  <a:solidFill>
                    <a:schemeClr val="accent1">
                      <a:shade val="42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xmlns:c15="http://schemas.microsoft.com/office/drawing/2012/chart">
                      <c:ext xmlns:c15="http://schemas.microsoft.com/office/drawing/2012/chart" uri="{02D57815-91ED-43cb-92C2-25804820EDAC}">
                        <c15:formulaRef>
                          <c15:sqref>Top_10_Reviews!$K$2:$K$11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9-AD5C-42E2-849A-68F3E3B70E68}"/>
                  </c:ext>
                </c:extLst>
              </c15:ser>
            </c15:filteredBarSeries>
          </c:ext>
        </c:extLst>
      </c:barChart>
      <c:lineChart>
        <c:grouping val="stacked"/>
        <c:varyColors val="0"/>
        <c:ser>
          <c:idx val="6"/>
          <c:order val="6"/>
          <c:tx>
            <c:strRef>
              <c:f>Top_10_Reviews!$H$1</c:f>
              <c:strCache>
                <c:ptCount val="1"/>
                <c:pt idx="0">
                  <c:v>Ratingd</c:v>
                </c:pt>
              </c:strCache>
            </c:strRef>
          </c:tx>
          <c:spPr>
            <a:ln w="28575" cap="rnd">
              <a:solidFill>
                <a:schemeClr val="accent1">
                  <a:shade val="80000"/>
                </a:schemeClr>
              </a:solidFill>
              <a:round/>
            </a:ln>
            <a:effectLst/>
          </c:spPr>
          <c:marker>
            <c:symbol val="circle"/>
            <c:size val="5"/>
            <c:spPr>
              <a:solidFill>
                <a:schemeClr val="accent1">
                  <a:shade val="80000"/>
                </a:schemeClr>
              </a:solidFill>
              <a:ln w="9525">
                <a:solidFill>
                  <a:schemeClr val="accent1">
                    <a:shade val="80000"/>
                  </a:schemeClr>
                </a:solidFill>
              </a:ln>
              <a:effectLst/>
            </c:spPr>
          </c:marker>
          <c:cat>
            <c:strRef>
              <c:f>Top_10_Reviews!$A$2:$A$11</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f>Top_10_Reviews!$H$2:$H$11</c:f>
              <c:numCache>
                <c:formatCode>General</c:formatCode>
                <c:ptCount val="10"/>
                <c:pt idx="0">
                  <c:v>2.8</c:v>
                </c:pt>
                <c:pt idx="1">
                  <c:v>4.5999999999999996</c:v>
                </c:pt>
                <c:pt idx="2">
                  <c:v>4.5999999999999996</c:v>
                </c:pt>
                <c:pt idx="3">
                  <c:v>4.5999999999999996</c:v>
                </c:pt>
                <c:pt idx="4">
                  <c:v>4.3</c:v>
                </c:pt>
                <c:pt idx="5">
                  <c:v>4.5</c:v>
                </c:pt>
                <c:pt idx="6">
                  <c:v>4.5999999999999996</c:v>
                </c:pt>
                <c:pt idx="7">
                  <c:v>4.0999999999999996</c:v>
                </c:pt>
                <c:pt idx="8">
                  <c:v>4.7</c:v>
                </c:pt>
                <c:pt idx="9">
                  <c:v>2.6</c:v>
                </c:pt>
              </c:numCache>
            </c:numRef>
          </c:val>
          <c:smooth val="0"/>
          <c:extLst>
            <c:ext xmlns:c16="http://schemas.microsoft.com/office/drawing/2014/chart" uri="{C3380CC4-5D6E-409C-BE32-E72D297353CC}">
              <c16:uniqueId val="{00000001-AD5C-42E2-849A-68F3E3B70E68}"/>
            </c:ext>
          </c:extLst>
        </c:ser>
        <c:dLbls>
          <c:showLegendKey val="0"/>
          <c:showVal val="0"/>
          <c:showCatName val="0"/>
          <c:showSerName val="0"/>
          <c:showPercent val="0"/>
          <c:showBubbleSize val="0"/>
        </c:dLbls>
        <c:marker val="1"/>
        <c:smooth val="0"/>
        <c:axId val="400032639"/>
        <c:axId val="400015839"/>
      </c:lineChart>
      <c:catAx>
        <c:axId val="207432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74317663"/>
        <c:crosses val="autoZero"/>
        <c:auto val="1"/>
        <c:lblAlgn val="ctr"/>
        <c:lblOffset val="100"/>
        <c:noMultiLvlLbl val="0"/>
      </c:catAx>
      <c:valAx>
        <c:axId val="207431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74326783"/>
        <c:crosses val="autoZero"/>
        <c:crossBetween val="between"/>
      </c:valAx>
      <c:valAx>
        <c:axId val="4000158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00032639"/>
        <c:crosses val="max"/>
        <c:crossBetween val="between"/>
      </c:valAx>
      <c:catAx>
        <c:axId val="400032639"/>
        <c:scaling>
          <c:orientation val="minMax"/>
        </c:scaling>
        <c:delete val="1"/>
        <c:axPos val="b"/>
        <c:numFmt formatCode="General" sourceLinked="1"/>
        <c:majorTickMark val="out"/>
        <c:minorTickMark val="none"/>
        <c:tickLblPos val="nextTo"/>
        <c:crossAx val="4000158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Top Ten Product Reviews Compared to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5"/>
          <c:order val="5"/>
          <c:tx>
            <c:strRef>
              <c:f>Bottom_10_Reviews!$G$1</c:f>
              <c:strCache>
                <c:ptCount val="1"/>
                <c:pt idx="0">
                  <c:v>Review</c:v>
                </c:pt>
              </c:strCache>
            </c:strRef>
          </c:tx>
          <c:spPr>
            <a:solidFill>
              <a:schemeClr val="accent5">
                <a:shade val="93000"/>
              </a:schemeClr>
            </a:solidFill>
            <a:ln>
              <a:noFill/>
            </a:ln>
            <a:effectLst/>
          </c:spPr>
          <c:invertIfNegative val="0"/>
          <c:cat>
            <c:strRef>
              <c:f>Bottom_10_Reviews!$A$2:$A$11</c:f>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f>Bottom_10_Reviews!$G$2:$G$11</c:f>
              <c:numCache>
                <c:formatCode>General</c:formatCode>
                <c:ptCount val="10"/>
                <c:pt idx="0">
                  <c:v>1</c:v>
                </c:pt>
                <c:pt idx="1">
                  <c:v>1</c:v>
                </c:pt>
                <c:pt idx="2">
                  <c:v>1</c:v>
                </c:pt>
                <c:pt idx="3">
                  <c:v>1</c:v>
                </c:pt>
                <c:pt idx="4">
                  <c:v>1</c:v>
                </c:pt>
                <c:pt idx="5">
                  <c:v>1</c:v>
                </c:pt>
                <c:pt idx="6">
                  <c:v>2</c:v>
                </c:pt>
                <c:pt idx="7">
                  <c:v>2</c:v>
                </c:pt>
                <c:pt idx="8">
                  <c:v>2</c:v>
                </c:pt>
                <c:pt idx="9">
                  <c:v>2</c:v>
                </c:pt>
              </c:numCache>
            </c:numRef>
          </c:val>
          <c:extLst>
            <c:ext xmlns:c16="http://schemas.microsoft.com/office/drawing/2014/chart" uri="{C3380CC4-5D6E-409C-BE32-E72D297353CC}">
              <c16:uniqueId val="{00000000-CA29-4910-8AD4-FAB621A05043}"/>
            </c:ext>
          </c:extLst>
        </c:ser>
        <c:dLbls>
          <c:showLegendKey val="0"/>
          <c:showVal val="0"/>
          <c:showCatName val="0"/>
          <c:showSerName val="0"/>
          <c:showPercent val="0"/>
          <c:showBubbleSize val="0"/>
        </c:dLbls>
        <c:gapWidth val="219"/>
        <c:axId val="194766319"/>
        <c:axId val="194771119"/>
        <c:extLst>
          <c:ext xmlns:c15="http://schemas.microsoft.com/office/drawing/2012/chart" uri="{02D57815-91ED-43cb-92C2-25804820EDAC}">
            <c15:filteredBarSeries>
              <c15:ser>
                <c:idx val="0"/>
                <c:order val="0"/>
                <c:tx>
                  <c:strRef>
                    <c:extLst>
                      <c:ext uri="{02D57815-91ED-43cb-92C2-25804820EDAC}">
                        <c15:formulaRef>
                          <c15:sqref>Bottom_10_Reviews!$B$1</c15:sqref>
                        </c15:formulaRef>
                      </c:ext>
                    </c:extLst>
                    <c:strCache>
                      <c:ptCount val="1"/>
                      <c:pt idx="0">
                        <c:v>Current price</c:v>
                      </c:pt>
                    </c:strCache>
                  </c:strRef>
                </c:tx>
                <c:spPr>
                  <a:solidFill>
                    <a:schemeClr val="accent5">
                      <a:tint val="43000"/>
                    </a:schemeClr>
                  </a:solidFill>
                  <a:ln>
                    <a:noFill/>
                  </a:ln>
                  <a:effectLst/>
                </c:spPr>
                <c:invertIfNegative val="0"/>
                <c:cat>
                  <c:strRef>
                    <c:extLst>
                      <c:ex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uri="{02D57815-91ED-43cb-92C2-25804820EDAC}">
                        <c15:formulaRef>
                          <c15:sqref>Bottom_10_Reviews!$B$2:$B$11</c15:sqref>
                        </c15:formulaRef>
                      </c:ext>
                    </c:extLst>
                    <c:numCache>
                      <c:formatCode>_(* #,##0.00_);_(* \(#,##0.00\);_(* "-"??_);_(@_)</c:formatCode>
                      <c:ptCount val="10"/>
                      <c:pt idx="0">
                        <c:v>1620</c:v>
                      </c:pt>
                      <c:pt idx="1">
                        <c:v>979</c:v>
                      </c:pt>
                      <c:pt idx="2">
                        <c:v>3640</c:v>
                      </c:pt>
                      <c:pt idx="3">
                        <c:v>330</c:v>
                      </c:pt>
                      <c:pt idx="4">
                        <c:v>1189</c:v>
                      </c:pt>
                      <c:pt idx="5">
                        <c:v>450</c:v>
                      </c:pt>
                      <c:pt idx="6">
                        <c:v>332</c:v>
                      </c:pt>
                      <c:pt idx="7">
                        <c:v>195</c:v>
                      </c:pt>
                      <c:pt idx="8">
                        <c:v>171</c:v>
                      </c:pt>
                      <c:pt idx="9">
                        <c:v>950</c:v>
                      </c:pt>
                    </c:numCache>
                  </c:numRef>
                </c:val>
                <c:extLst>
                  <c:ext xmlns:c16="http://schemas.microsoft.com/office/drawing/2014/chart" uri="{C3380CC4-5D6E-409C-BE32-E72D297353CC}">
                    <c16:uniqueId val="{00000002-CA29-4910-8AD4-FAB621A0504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Bottom_10_Reviews!$C$1</c15:sqref>
                        </c15:formulaRef>
                      </c:ext>
                    </c:extLst>
                    <c:strCache>
                      <c:ptCount val="1"/>
                      <c:pt idx="0">
                        <c:v> old price </c:v>
                      </c:pt>
                    </c:strCache>
                  </c:strRef>
                </c:tx>
                <c:spPr>
                  <a:solidFill>
                    <a:schemeClr val="accent5">
                      <a:tint val="56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Bottom_10_Reviews!$C$2:$C$11</c15:sqref>
                        </c15:formulaRef>
                      </c:ext>
                    </c:extLst>
                    <c:numCache>
                      <c:formatCode>_(* #,##0.00_);_(* \(#,##0.00\);_(* "-"??_);_(@_)</c:formatCode>
                      <c:ptCount val="10"/>
                      <c:pt idx="0">
                        <c:v>2690</c:v>
                      </c:pt>
                      <c:pt idx="1">
                        <c:v>1920</c:v>
                      </c:pt>
                      <c:pt idx="2">
                        <c:v>4588</c:v>
                      </c:pt>
                      <c:pt idx="3">
                        <c:v>647</c:v>
                      </c:pt>
                      <c:pt idx="4">
                        <c:v>2199</c:v>
                      </c:pt>
                      <c:pt idx="5">
                        <c:v>900</c:v>
                      </c:pt>
                      <c:pt idx="6">
                        <c:v>684</c:v>
                      </c:pt>
                      <c:pt idx="7">
                        <c:v>360</c:v>
                      </c:pt>
                      <c:pt idx="8">
                        <c:v>360</c:v>
                      </c:pt>
                      <c:pt idx="9">
                        <c:v>1525</c:v>
                      </c:pt>
                    </c:numCache>
                  </c:numRef>
                </c:val>
                <c:extLst>
                  <c:ext xmlns:c16="http://schemas.microsoft.com/office/drawing/2014/chart" uri="{C3380CC4-5D6E-409C-BE32-E72D297353CC}">
                    <c16:uniqueId val="{00000003-CA29-4910-8AD4-FAB621A0504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Bottom_10_Reviews!$D$1</c15:sqref>
                        </c15:formulaRef>
                      </c:ext>
                    </c:extLst>
                    <c:strCache>
                      <c:ptCount val="1"/>
                      <c:pt idx="0">
                        <c:v>Discount</c:v>
                      </c:pt>
                    </c:strCache>
                  </c:strRef>
                </c:tx>
                <c:spPr>
                  <a:solidFill>
                    <a:schemeClr val="accent5">
                      <a:tint val="69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Bottom_10_Reviews!$D$2:$D$11</c15:sqref>
                        </c15:formulaRef>
                      </c:ext>
                    </c:extLst>
                    <c:numCache>
                      <c:formatCode>0%</c:formatCode>
                      <c:ptCount val="10"/>
                      <c:pt idx="0">
                        <c:v>0.4</c:v>
                      </c:pt>
                      <c:pt idx="1">
                        <c:v>0.49</c:v>
                      </c:pt>
                      <c:pt idx="2">
                        <c:v>0.21</c:v>
                      </c:pt>
                      <c:pt idx="3">
                        <c:v>0.49</c:v>
                      </c:pt>
                      <c:pt idx="4">
                        <c:v>0.46</c:v>
                      </c:pt>
                      <c:pt idx="5">
                        <c:v>0.5</c:v>
                      </c:pt>
                      <c:pt idx="6">
                        <c:v>0.51</c:v>
                      </c:pt>
                      <c:pt idx="7">
                        <c:v>0.46</c:v>
                      </c:pt>
                      <c:pt idx="8">
                        <c:v>0.53</c:v>
                      </c:pt>
                      <c:pt idx="9">
                        <c:v>0.38</c:v>
                      </c:pt>
                    </c:numCache>
                  </c:numRef>
                </c:val>
                <c:extLst>
                  <c:ext xmlns:c16="http://schemas.microsoft.com/office/drawing/2014/chart" uri="{C3380CC4-5D6E-409C-BE32-E72D297353CC}">
                    <c16:uniqueId val="{00000004-CA29-4910-8AD4-FAB621A0504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Bottom_10_Reviews!$E$1</c15:sqref>
                        </c15:formulaRef>
                      </c:ext>
                    </c:extLst>
                    <c:strCache>
                      <c:ptCount val="1"/>
                      <c:pt idx="0">
                        <c:v>Discount </c:v>
                      </c:pt>
                    </c:strCache>
                  </c:strRef>
                </c:tx>
                <c:spPr>
                  <a:solidFill>
                    <a:schemeClr val="accent5">
                      <a:tint val="81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Bottom_10_Reviews!$E$2:$E$11</c15:sqref>
                        </c15:formulaRef>
                      </c:ext>
                    </c:extLst>
                    <c:numCache>
                      <c:formatCode>0.00</c:formatCode>
                      <c:ptCount val="10"/>
                      <c:pt idx="0">
                        <c:v>0.4</c:v>
                      </c:pt>
                      <c:pt idx="1">
                        <c:v>0.49</c:v>
                      </c:pt>
                      <c:pt idx="2">
                        <c:v>0.21</c:v>
                      </c:pt>
                      <c:pt idx="3">
                        <c:v>0.49</c:v>
                      </c:pt>
                      <c:pt idx="4">
                        <c:v>0.46</c:v>
                      </c:pt>
                      <c:pt idx="5">
                        <c:v>0.5</c:v>
                      </c:pt>
                      <c:pt idx="6">
                        <c:v>0.51</c:v>
                      </c:pt>
                      <c:pt idx="7">
                        <c:v>0.46</c:v>
                      </c:pt>
                      <c:pt idx="8">
                        <c:v>0.53</c:v>
                      </c:pt>
                      <c:pt idx="9">
                        <c:v>0.38</c:v>
                      </c:pt>
                    </c:numCache>
                  </c:numRef>
                </c:val>
                <c:extLst>
                  <c:ext xmlns:c16="http://schemas.microsoft.com/office/drawing/2014/chart" uri="{C3380CC4-5D6E-409C-BE32-E72D297353CC}">
                    <c16:uniqueId val="{00000005-CA29-4910-8AD4-FAB621A0504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Bottom_10_Reviews!$F$1</c15:sqref>
                        </c15:formulaRef>
                      </c:ext>
                    </c:extLst>
                    <c:strCache>
                      <c:ptCount val="1"/>
                      <c:pt idx="0">
                        <c:v>Review</c:v>
                      </c:pt>
                    </c:strCache>
                  </c:strRef>
                </c:tx>
                <c:spPr>
                  <a:solidFill>
                    <a:schemeClr val="accent5">
                      <a:tint val="94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Bottom_10_Reviews!$F$2:$F$11</c15:sqref>
                        </c15:formulaRef>
                      </c:ext>
                    </c:extLst>
                    <c:numCache>
                      <c:formatCode>General</c:formatCode>
                      <c:ptCount val="10"/>
                      <c:pt idx="0">
                        <c:v>-1</c:v>
                      </c:pt>
                      <c:pt idx="1">
                        <c:v>-1</c:v>
                      </c:pt>
                      <c:pt idx="2">
                        <c:v>-1</c:v>
                      </c:pt>
                      <c:pt idx="3">
                        <c:v>-1</c:v>
                      </c:pt>
                      <c:pt idx="4">
                        <c:v>-1</c:v>
                      </c:pt>
                      <c:pt idx="5">
                        <c:v>-1</c:v>
                      </c:pt>
                      <c:pt idx="6">
                        <c:v>-2</c:v>
                      </c:pt>
                      <c:pt idx="7">
                        <c:v>-2</c:v>
                      </c:pt>
                      <c:pt idx="8">
                        <c:v>-2</c:v>
                      </c:pt>
                      <c:pt idx="9">
                        <c:v>-2</c:v>
                      </c:pt>
                    </c:numCache>
                  </c:numRef>
                </c:val>
                <c:extLst>
                  <c:ext xmlns:c16="http://schemas.microsoft.com/office/drawing/2014/chart" uri="{C3380CC4-5D6E-409C-BE32-E72D297353CC}">
                    <c16:uniqueId val="{00000006-CA29-4910-8AD4-FAB621A0504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Bottom_10_Reviews!$I$1</c15:sqref>
                        </c15:formulaRef>
                      </c:ext>
                    </c:extLst>
                    <c:strCache>
                      <c:ptCount val="1"/>
                      <c:pt idx="0">
                        <c:v>absolute discount amount</c:v>
                      </c:pt>
                    </c:strCache>
                  </c:strRef>
                </c:tx>
                <c:spPr>
                  <a:solidFill>
                    <a:schemeClr val="accent5">
                      <a:shade val="68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Bottom_10_Reviews!$I$2:$I$11</c15:sqref>
                        </c15:formulaRef>
                      </c:ext>
                    </c:extLst>
                    <c:numCache>
                      <c:formatCode>General</c:formatCode>
                      <c:ptCount val="10"/>
                      <c:pt idx="0">
                        <c:v>1070</c:v>
                      </c:pt>
                      <c:pt idx="1">
                        <c:v>941</c:v>
                      </c:pt>
                      <c:pt idx="2">
                        <c:v>948</c:v>
                      </c:pt>
                      <c:pt idx="3">
                        <c:v>317</c:v>
                      </c:pt>
                      <c:pt idx="4">
                        <c:v>1010</c:v>
                      </c:pt>
                      <c:pt idx="5">
                        <c:v>450</c:v>
                      </c:pt>
                      <c:pt idx="6">
                        <c:v>352</c:v>
                      </c:pt>
                      <c:pt idx="7">
                        <c:v>165</c:v>
                      </c:pt>
                      <c:pt idx="8">
                        <c:v>189</c:v>
                      </c:pt>
                      <c:pt idx="9">
                        <c:v>575</c:v>
                      </c:pt>
                    </c:numCache>
                  </c:numRef>
                </c:val>
                <c:extLst>
                  <c:ext xmlns:c16="http://schemas.microsoft.com/office/drawing/2014/chart" uri="{C3380CC4-5D6E-409C-BE32-E72D297353CC}">
                    <c16:uniqueId val="{00000007-CA29-4910-8AD4-FAB621A0504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Bottom_10_Reviews!$J$1</c15:sqref>
                        </c15:formulaRef>
                      </c:ext>
                    </c:extLst>
                    <c:strCache>
                      <c:ptCount val="1"/>
                      <c:pt idx="0">
                        <c:v>Product Category</c:v>
                      </c:pt>
                    </c:strCache>
                  </c:strRef>
                </c:tx>
                <c:spPr>
                  <a:solidFill>
                    <a:schemeClr val="accent5">
                      <a:shade val="55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8-CA29-4910-8AD4-FAB621A05043}"/>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Bottom_10_Reviews!$K$1</c15:sqref>
                        </c15:formulaRef>
                      </c:ext>
                    </c:extLst>
                    <c:strCache>
                      <c:ptCount val="1"/>
                      <c:pt idx="0">
                        <c:v>Discount Category</c:v>
                      </c:pt>
                    </c:strCache>
                  </c:strRef>
                </c:tx>
                <c:spPr>
                  <a:solidFill>
                    <a:schemeClr val="accent5">
                      <a:shade val="42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xmlns:c15="http://schemas.microsoft.com/office/drawing/2012/chart">
                      <c:ext xmlns:c15="http://schemas.microsoft.com/office/drawing/2012/chart" uri="{02D57815-91ED-43cb-92C2-25804820EDAC}">
                        <c15:formulaRef>
                          <c15:sqref>Bottom_10_Reviews!$K$2:$K$11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9-CA29-4910-8AD4-FAB621A05043}"/>
                  </c:ext>
                </c:extLst>
              </c15:ser>
            </c15:filteredBarSeries>
          </c:ext>
        </c:extLst>
      </c:barChart>
      <c:lineChart>
        <c:grouping val="standard"/>
        <c:varyColors val="0"/>
        <c:ser>
          <c:idx val="6"/>
          <c:order val="6"/>
          <c:tx>
            <c:strRef>
              <c:f>Bottom_10_Reviews!$H$1</c:f>
              <c:strCache>
                <c:ptCount val="1"/>
                <c:pt idx="0">
                  <c:v>Ratingd</c:v>
                </c:pt>
              </c:strCache>
            </c:strRef>
          </c:tx>
          <c:spPr>
            <a:ln w="28575" cap="rnd">
              <a:solidFill>
                <a:schemeClr val="accent5">
                  <a:shade val="80000"/>
                </a:schemeClr>
              </a:solidFill>
              <a:round/>
            </a:ln>
            <a:effectLst/>
          </c:spPr>
          <c:marker>
            <c:symbol val="none"/>
          </c:marker>
          <c:cat>
            <c:strRef>
              <c:f>Bottom_10_Reviews!$A$2:$A$11</c:f>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f>Bottom_10_Reviews!$H$2:$H$11</c:f>
              <c:numCache>
                <c:formatCode>General</c:formatCode>
                <c:ptCount val="10"/>
                <c:pt idx="0">
                  <c:v>5</c:v>
                </c:pt>
                <c:pt idx="1">
                  <c:v>5</c:v>
                </c:pt>
                <c:pt idx="2">
                  <c:v>5</c:v>
                </c:pt>
                <c:pt idx="3">
                  <c:v>4</c:v>
                </c:pt>
                <c:pt idx="4">
                  <c:v>3</c:v>
                </c:pt>
                <c:pt idx="5">
                  <c:v>2</c:v>
                </c:pt>
                <c:pt idx="6">
                  <c:v>5</c:v>
                </c:pt>
                <c:pt idx="7">
                  <c:v>5</c:v>
                </c:pt>
                <c:pt idx="8">
                  <c:v>5</c:v>
                </c:pt>
                <c:pt idx="9">
                  <c:v>4.5</c:v>
                </c:pt>
              </c:numCache>
            </c:numRef>
          </c:val>
          <c:smooth val="0"/>
          <c:extLst>
            <c:ext xmlns:c16="http://schemas.microsoft.com/office/drawing/2014/chart" uri="{C3380CC4-5D6E-409C-BE32-E72D297353CC}">
              <c16:uniqueId val="{00000001-CA29-4910-8AD4-FAB621A05043}"/>
            </c:ext>
          </c:extLst>
        </c:ser>
        <c:dLbls>
          <c:showLegendKey val="0"/>
          <c:showVal val="0"/>
          <c:showCatName val="0"/>
          <c:showSerName val="0"/>
          <c:showPercent val="0"/>
          <c:showBubbleSize val="0"/>
        </c:dLbls>
        <c:marker val="1"/>
        <c:smooth val="0"/>
        <c:axId val="1857421903"/>
        <c:axId val="1857408943"/>
      </c:lineChart>
      <c:catAx>
        <c:axId val="194766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771119"/>
        <c:crosses val="autoZero"/>
        <c:auto val="1"/>
        <c:lblAlgn val="ctr"/>
        <c:lblOffset val="100"/>
        <c:noMultiLvlLbl val="0"/>
      </c:catAx>
      <c:valAx>
        <c:axId val="19477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766319"/>
        <c:crosses val="autoZero"/>
        <c:crossBetween val="between"/>
      </c:valAx>
      <c:valAx>
        <c:axId val="18574089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57421903"/>
        <c:crosses val="max"/>
        <c:crossBetween val="between"/>
      </c:valAx>
      <c:catAx>
        <c:axId val="1857421903"/>
        <c:scaling>
          <c:orientation val="minMax"/>
        </c:scaling>
        <c:delete val="1"/>
        <c:axPos val="b"/>
        <c:numFmt formatCode="General" sourceLinked="1"/>
        <c:majorTickMark val="out"/>
        <c:minorTickMark val="none"/>
        <c:tickLblPos val="nextTo"/>
        <c:crossAx val="1857408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[Jumia_Product_performance_Analysis.xlsx]Pivot!PivotTable110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Pivot!$B$4:$B$7</c:f>
              <c:strCache>
                <c:ptCount val="3"/>
                <c:pt idx="0">
                  <c:v>High Discount</c:v>
                </c:pt>
                <c:pt idx="1">
                  <c:v>Low Discount</c:v>
                </c:pt>
                <c:pt idx="2">
                  <c:v>Medium Discount</c:v>
                </c:pt>
              </c:strCache>
            </c:strRef>
          </c:cat>
          <c:val>
            <c:numRef>
              <c:f>Pivot!$C$4:$C$7</c:f>
              <c:numCache>
                <c:formatCode>General</c:formatCode>
                <c:ptCount val="3"/>
                <c:pt idx="0">
                  <c:v>25154</c:v>
                </c:pt>
                <c:pt idx="1">
                  <c:v>1961</c:v>
                </c:pt>
                <c:pt idx="2">
                  <c:v>15191</c:v>
                </c:pt>
              </c:numCache>
            </c:numRef>
          </c:val>
          <c:extLst>
            <c:ext xmlns:c16="http://schemas.microsoft.com/office/drawing/2014/chart" uri="{C3380CC4-5D6E-409C-BE32-E72D297353CC}">
              <c16:uniqueId val="{00000000-7B03-4F54-B8C9-53892A64A027}"/>
            </c:ext>
          </c:extLst>
        </c:ser>
        <c:dLbls>
          <c:showLegendKey val="0"/>
          <c:showVal val="0"/>
          <c:showCatName val="0"/>
          <c:showSerName val="0"/>
          <c:showPercent val="0"/>
          <c:showBubbleSize val="0"/>
        </c:dLbls>
        <c:gapWidth val="219"/>
        <c:overlap val="-27"/>
        <c:axId val="1452978767"/>
        <c:axId val="1452987407"/>
      </c:barChart>
      <c:catAx>
        <c:axId val="14529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87407"/>
        <c:crosses val="autoZero"/>
        <c:auto val="1"/>
        <c:lblAlgn val="ctr"/>
        <c:lblOffset val="100"/>
        <c:noMultiLvlLbl val="0"/>
      </c:catAx>
      <c:valAx>
        <c:axId val="145298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[Jumia_Product_performance_Analysis.xlsx]Pivot!PivotTable111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accent1"/>
            </a:solidFill>
            <a:ln>
              <a:noFill/>
            </a:ln>
            <a:effectLst/>
          </c:spPr>
          <c:invertIfNegative val="0"/>
          <c:cat>
            <c:strRef>
              <c:f>Pivot!$H$3:$H$6</c:f>
              <c:strCache>
                <c:ptCount val="3"/>
                <c:pt idx="0">
                  <c:v>Average</c:v>
                </c:pt>
                <c:pt idx="1">
                  <c:v>Excellent</c:v>
                </c:pt>
                <c:pt idx="2">
                  <c:v>Poor</c:v>
                </c:pt>
              </c:strCache>
            </c:strRef>
          </c:cat>
          <c:val>
            <c:numRef>
              <c:f>Pivot!$I$3:$I$6</c:f>
              <c:numCache>
                <c:formatCode>General</c:formatCode>
                <c:ptCount val="3"/>
                <c:pt idx="0">
                  <c:v>9</c:v>
                </c:pt>
                <c:pt idx="1">
                  <c:v>35</c:v>
                </c:pt>
                <c:pt idx="2">
                  <c:v>12</c:v>
                </c:pt>
              </c:numCache>
            </c:numRef>
          </c:val>
          <c:extLst>
            <c:ext xmlns:c16="http://schemas.microsoft.com/office/drawing/2014/chart" uri="{C3380CC4-5D6E-409C-BE32-E72D297353CC}">
              <c16:uniqueId val="{00000000-3176-4161-987E-C50BB60F0095}"/>
            </c:ext>
          </c:extLst>
        </c:ser>
        <c:dLbls>
          <c:showLegendKey val="0"/>
          <c:showVal val="0"/>
          <c:showCatName val="0"/>
          <c:showSerName val="0"/>
          <c:showPercent val="0"/>
          <c:showBubbleSize val="0"/>
        </c:dLbls>
        <c:gapWidth val="219"/>
        <c:overlap val="-27"/>
        <c:axId val="2071214751"/>
        <c:axId val="2071215231"/>
      </c:barChart>
      <c:catAx>
        <c:axId val="20712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15231"/>
        <c:crosses val="autoZero"/>
        <c:auto val="1"/>
        <c:lblAlgn val="ctr"/>
        <c:lblOffset val="100"/>
        <c:noMultiLvlLbl val="0"/>
      </c:catAx>
      <c:valAx>
        <c:axId val="207121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[Jumia_Product_performance_Analysis.xlsx]Pivot!PivotTable112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solidFill>
              <a:schemeClr val="accent1"/>
            </a:solidFill>
            <a:ln>
              <a:noFill/>
            </a:ln>
            <a:effectLst/>
          </c:spPr>
          <c:invertIfNegative val="0"/>
          <c:cat>
            <c:strRef>
              <c:f>Pivot!$L$4:$L$7</c:f>
              <c:strCache>
                <c:ptCount val="3"/>
                <c:pt idx="0">
                  <c:v>High Discount</c:v>
                </c:pt>
                <c:pt idx="1">
                  <c:v>Low Discount</c:v>
                </c:pt>
                <c:pt idx="2">
                  <c:v>Medium Discount</c:v>
                </c:pt>
              </c:strCache>
            </c:strRef>
          </c:cat>
          <c:val>
            <c:numRef>
              <c:f>Pivot!$M$4:$M$7</c:f>
              <c:numCache>
                <c:formatCode>General</c:formatCode>
                <c:ptCount val="3"/>
                <c:pt idx="0">
                  <c:v>31</c:v>
                </c:pt>
                <c:pt idx="1">
                  <c:v>4</c:v>
                </c:pt>
                <c:pt idx="2">
                  <c:v>21</c:v>
                </c:pt>
              </c:numCache>
            </c:numRef>
          </c:val>
          <c:extLst>
            <c:ext xmlns:c16="http://schemas.microsoft.com/office/drawing/2014/chart" uri="{C3380CC4-5D6E-409C-BE32-E72D297353CC}">
              <c16:uniqueId val="{00000000-8A12-4ABB-82F6-618BDCDF16D1}"/>
            </c:ext>
          </c:extLst>
        </c:ser>
        <c:dLbls>
          <c:showLegendKey val="0"/>
          <c:showVal val="0"/>
          <c:showCatName val="0"/>
          <c:showSerName val="0"/>
          <c:showPercent val="0"/>
          <c:showBubbleSize val="0"/>
        </c:dLbls>
        <c:gapWidth val="219"/>
        <c:overlap val="-27"/>
        <c:axId val="116375823"/>
        <c:axId val="116372463"/>
      </c:barChart>
      <c:catAx>
        <c:axId val="11637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372463"/>
        <c:crosses val="autoZero"/>
        <c:auto val="1"/>
        <c:lblAlgn val="ctr"/>
        <c:lblOffset val="100"/>
        <c:noMultiLvlLbl val="0"/>
      </c:catAx>
      <c:valAx>
        <c:axId val="11637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37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Bottom_5_Ratings!$H$1</c:f>
              <c:strCache>
                <c:ptCount val="1"/>
                <c:pt idx="0">
                  <c:v>Ratingd</c:v>
                </c:pt>
              </c:strCache>
            </c:strRef>
          </c:tx>
          <c:spPr>
            <a:solidFill>
              <a:schemeClr val="accent1">
                <a:lumMod val="60000"/>
              </a:schemeClr>
            </a:solidFill>
            <a:ln>
              <a:noFill/>
            </a:ln>
            <a:effectLst/>
          </c:spPr>
          <c:invertIfNegative val="0"/>
          <c:cat>
            <c:strRef>
              <c:f>Bottom_5_Ratings!$A$2:$A$6</c:f>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f>Bottom_5_Ratings!$H$2:$H$6</c:f>
              <c:numCache>
                <c:formatCode>General</c:formatCode>
                <c:ptCount val="5"/>
                <c:pt idx="0">
                  <c:v>2</c:v>
                </c:pt>
                <c:pt idx="1">
                  <c:v>2.1</c:v>
                </c:pt>
                <c:pt idx="2">
                  <c:v>2.1</c:v>
                </c:pt>
                <c:pt idx="3">
                  <c:v>2.2000000000000002</c:v>
                </c:pt>
                <c:pt idx="4">
                  <c:v>2.2000000000000002</c:v>
                </c:pt>
              </c:numCache>
            </c:numRef>
          </c:val>
          <c:extLst>
            <c:ext xmlns:c16="http://schemas.microsoft.com/office/drawing/2014/chart" uri="{C3380CC4-5D6E-409C-BE32-E72D297353CC}">
              <c16:uniqueId val="{00000006-E73A-4EC1-AC1B-5314095EFF67}"/>
            </c:ext>
          </c:extLst>
        </c:ser>
        <c:dLbls>
          <c:showLegendKey val="0"/>
          <c:showVal val="0"/>
          <c:showCatName val="0"/>
          <c:showSerName val="0"/>
          <c:showPercent val="0"/>
          <c:showBubbleSize val="0"/>
        </c:dLbls>
        <c:gapWidth val="219"/>
        <c:overlap val="-27"/>
        <c:axId val="1905877407"/>
        <c:axId val="1905875967"/>
        <c:extLst>
          <c:ext xmlns:c15="http://schemas.microsoft.com/office/drawing/2012/chart" uri="{02D57815-91ED-43cb-92C2-25804820EDAC}">
            <c15:filteredBarSeries>
              <c15:ser>
                <c:idx val="0"/>
                <c:order val="0"/>
                <c:tx>
                  <c:strRef>
                    <c:extLst>
                      <c:ext uri="{02D57815-91ED-43cb-92C2-25804820EDAC}">
                        <c15:formulaRef>
                          <c15:sqref>Bottom_5_Ratings!$B$1</c15:sqref>
                        </c15:formulaRef>
                      </c:ext>
                    </c:extLst>
                    <c:strCache>
                      <c:ptCount val="1"/>
                      <c:pt idx="0">
                        <c:v>Current price</c:v>
                      </c:pt>
                    </c:strCache>
                  </c:strRef>
                </c:tx>
                <c:spPr>
                  <a:solidFill>
                    <a:schemeClr val="accent1"/>
                  </a:solidFill>
                  <a:ln>
                    <a:noFill/>
                  </a:ln>
                  <a:effectLst/>
                </c:spPr>
                <c:invertIfNegative val="0"/>
                <c:cat>
                  <c:strRef>
                    <c:extLst>
                      <c:ex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c:ext uri="{02D57815-91ED-43cb-92C2-25804820EDAC}">
                        <c15:formulaRef>
                          <c15:sqref>Bottom_5_Ratings!$B$2:$B$6</c15:sqref>
                        </c15:formulaRef>
                      </c:ext>
                    </c:extLst>
                    <c:numCache>
                      <c:formatCode>_(* #,##0.00_);_(* \(#,##0.00\);_(* "-"??_);_(@_)</c:formatCode>
                      <c:ptCount val="5"/>
                      <c:pt idx="0">
                        <c:v>450</c:v>
                      </c:pt>
                      <c:pt idx="1">
                        <c:v>2115</c:v>
                      </c:pt>
                      <c:pt idx="2">
                        <c:v>1570</c:v>
                      </c:pt>
                      <c:pt idx="3">
                        <c:v>990</c:v>
                      </c:pt>
                      <c:pt idx="4">
                        <c:v>968</c:v>
                      </c:pt>
                    </c:numCache>
                  </c:numRef>
                </c:val>
                <c:extLst>
                  <c:ext xmlns:c16="http://schemas.microsoft.com/office/drawing/2014/chart" uri="{C3380CC4-5D6E-409C-BE32-E72D297353CC}">
                    <c16:uniqueId val="{00000000-E73A-4EC1-AC1B-5314095EFF6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Bottom_5_Ratings!$C$1</c15:sqref>
                        </c15:formulaRef>
                      </c:ext>
                    </c:extLst>
                    <c:strCache>
                      <c:ptCount val="1"/>
                      <c:pt idx="0">
                        <c:v> old price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Bottom_5_Ratings!$C$2:$C$6</c15:sqref>
                        </c15:formulaRef>
                      </c:ext>
                    </c:extLst>
                    <c:numCache>
                      <c:formatCode>_(* #,##0.00_);_(* \(#,##0.00\);_(* "-"??_);_(@_)</c:formatCode>
                      <c:ptCount val="5"/>
                      <c:pt idx="0">
                        <c:v>900</c:v>
                      </c:pt>
                      <c:pt idx="1">
                        <c:v>4700</c:v>
                      </c:pt>
                      <c:pt idx="2">
                        <c:v>2988</c:v>
                      </c:pt>
                      <c:pt idx="3">
                        <c:v>1814</c:v>
                      </c:pt>
                      <c:pt idx="4">
                        <c:v>1814</c:v>
                      </c:pt>
                    </c:numCache>
                  </c:numRef>
                </c:val>
                <c:extLst xmlns:c15="http://schemas.microsoft.com/office/drawing/2012/chart">
                  <c:ext xmlns:c16="http://schemas.microsoft.com/office/drawing/2014/chart" uri="{C3380CC4-5D6E-409C-BE32-E72D297353CC}">
                    <c16:uniqueId val="{00000001-E73A-4EC1-AC1B-5314095EFF6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Bottom_5_Ratings!$D$1</c15:sqref>
                        </c15:formulaRef>
                      </c:ext>
                    </c:extLst>
                    <c:strCache>
                      <c:ptCount val="1"/>
                      <c:pt idx="0">
                        <c:v>Discount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Bottom_5_Ratings!$D$2:$D$6</c15:sqref>
                        </c15:formulaRef>
                      </c:ext>
                    </c:extLst>
                    <c:numCache>
                      <c:formatCode>0%</c:formatCode>
                      <c:ptCount val="5"/>
                      <c:pt idx="0">
                        <c:v>0.5</c:v>
                      </c:pt>
                      <c:pt idx="1">
                        <c:v>0.55000000000000004</c:v>
                      </c:pt>
                      <c:pt idx="2">
                        <c:v>0.47</c:v>
                      </c:pt>
                      <c:pt idx="3">
                        <c:v>0.45</c:v>
                      </c:pt>
                      <c:pt idx="4">
                        <c:v>0.47</c:v>
                      </c:pt>
                    </c:numCache>
                  </c:numRef>
                </c:val>
                <c:extLst xmlns:c15="http://schemas.microsoft.com/office/drawing/2012/chart">
                  <c:ext xmlns:c16="http://schemas.microsoft.com/office/drawing/2014/chart" uri="{C3380CC4-5D6E-409C-BE32-E72D297353CC}">
                    <c16:uniqueId val="{00000002-E73A-4EC1-AC1B-5314095EFF6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Bottom_5_Ratings!$E$1</c15:sqref>
                        </c15:formulaRef>
                      </c:ext>
                    </c:extLst>
                    <c:strCache>
                      <c:ptCount val="1"/>
                      <c:pt idx="0">
                        <c:v>Discount </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Bottom_5_Ratings!$E$2:$E$6</c15:sqref>
                        </c15:formulaRef>
                      </c:ext>
                    </c:extLst>
                    <c:numCache>
                      <c:formatCode>0.00</c:formatCode>
                      <c:ptCount val="5"/>
                      <c:pt idx="0">
                        <c:v>0.5</c:v>
                      </c:pt>
                      <c:pt idx="1">
                        <c:v>0.55000000000000004</c:v>
                      </c:pt>
                      <c:pt idx="2">
                        <c:v>0.47</c:v>
                      </c:pt>
                      <c:pt idx="3">
                        <c:v>0.45</c:v>
                      </c:pt>
                      <c:pt idx="4">
                        <c:v>0.47</c:v>
                      </c:pt>
                    </c:numCache>
                  </c:numRef>
                </c:val>
                <c:extLst xmlns:c15="http://schemas.microsoft.com/office/drawing/2012/chart">
                  <c:ext xmlns:c16="http://schemas.microsoft.com/office/drawing/2014/chart" uri="{C3380CC4-5D6E-409C-BE32-E72D297353CC}">
                    <c16:uniqueId val="{00000003-E73A-4EC1-AC1B-5314095EFF6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Bottom_5_Ratings!$F$1</c15:sqref>
                        </c15:formulaRef>
                      </c:ext>
                    </c:extLst>
                    <c:strCache>
                      <c:ptCount val="1"/>
                      <c:pt idx="0">
                        <c:v>Review</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Bottom_5_Ratings!$F$2:$F$6</c15:sqref>
                        </c15:formulaRef>
                      </c:ext>
                    </c:extLst>
                    <c:numCache>
                      <c:formatCode>General</c:formatCode>
                      <c:ptCount val="5"/>
                      <c:pt idx="0">
                        <c:v>-1</c:v>
                      </c:pt>
                      <c:pt idx="1">
                        <c:v>-13</c:v>
                      </c:pt>
                      <c:pt idx="2">
                        <c:v>-7</c:v>
                      </c:pt>
                      <c:pt idx="3">
                        <c:v>-6</c:v>
                      </c:pt>
                      <c:pt idx="4">
                        <c:v>-6</c:v>
                      </c:pt>
                    </c:numCache>
                  </c:numRef>
                </c:val>
                <c:extLst xmlns:c15="http://schemas.microsoft.com/office/drawing/2012/chart">
                  <c:ext xmlns:c16="http://schemas.microsoft.com/office/drawing/2014/chart" uri="{C3380CC4-5D6E-409C-BE32-E72D297353CC}">
                    <c16:uniqueId val="{00000004-E73A-4EC1-AC1B-5314095EFF6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Bottom_5_Ratings!$G$1</c15:sqref>
                        </c15:formulaRef>
                      </c:ext>
                    </c:extLst>
                    <c:strCache>
                      <c:ptCount val="1"/>
                      <c:pt idx="0">
                        <c:v>Review</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Bottom_5_Ratings!$G$2:$G$6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5-E73A-4EC1-AC1B-5314095EFF6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Bottom_5_Ratings!$I$1</c15:sqref>
                        </c15:formulaRef>
                      </c:ext>
                    </c:extLst>
                    <c:strCache>
                      <c:ptCount val="1"/>
                      <c:pt idx="0">
                        <c:v>absolute discount amount</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Bottom_5_Ratings!$I$2:$I$6</c15:sqref>
                        </c15:formulaRef>
                      </c:ext>
                    </c:extLst>
                    <c:numCache>
                      <c:formatCode>General</c:formatCode>
                      <c:ptCount val="5"/>
                      <c:pt idx="0">
                        <c:v>450</c:v>
                      </c:pt>
                      <c:pt idx="1">
                        <c:v>2585</c:v>
                      </c:pt>
                      <c:pt idx="2">
                        <c:v>1418</c:v>
                      </c:pt>
                      <c:pt idx="3">
                        <c:v>824</c:v>
                      </c:pt>
                      <c:pt idx="4">
                        <c:v>846</c:v>
                      </c:pt>
                    </c:numCache>
                  </c:numRef>
                </c:val>
                <c:extLst xmlns:c15="http://schemas.microsoft.com/office/drawing/2012/chart">
                  <c:ext xmlns:c16="http://schemas.microsoft.com/office/drawing/2014/chart" uri="{C3380CC4-5D6E-409C-BE32-E72D297353CC}">
                    <c16:uniqueId val="{00000007-E73A-4EC1-AC1B-5314095EFF6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Bottom_5_Ratings!$J$1</c15:sqref>
                        </c15:formulaRef>
                      </c:ext>
                    </c:extLst>
                    <c:strCache>
                      <c:ptCount val="1"/>
                      <c:pt idx="0">
                        <c:v>Product Category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Bottom_5_Ratings!$J$2:$J$6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8-E73A-4EC1-AC1B-5314095EFF67}"/>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Bottom_5_Ratings!$K$1</c15:sqref>
                        </c15:formulaRef>
                      </c:ext>
                    </c:extLst>
                    <c:strCache>
                      <c:ptCount val="1"/>
                      <c:pt idx="0">
                        <c:v>Discount Category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Bottom_5_Ratings!$A$2:$A$6</c15:sqref>
                        </c15:formulaRef>
                      </c:ext>
                    </c:extLst>
                    <c:strCache>
                      <c:ptCount val="5"/>
                      <c:pt idx="0">
                        <c:v>Wall-mounted Sticker Punch-free Plug Fixer</c:v>
                      </c:pt>
                      <c:pt idx="1">
                        <c:v>5-PCS Stainless Steel Cooking Pot Set With Steamed Slices</c:v>
                      </c:pt>
                      <c:pt idx="2">
                        <c:v>Electric LED UV Mosquito Killer Lamp, Outdoor/Indoor Fly Killer Trap Light -USB</c:v>
                      </c:pt>
                      <c:pt idx="3">
                        <c:v>Artificial Potted Flowers Room Decorative Flowers (2 Pieces)</c:v>
                      </c:pt>
                      <c:pt idx="4">
                        <c:v>7-piece Set Of Storage Bags, Travel Storage Bags, Shoe Bags</c:v>
                      </c:pt>
                    </c:strCache>
                  </c:strRef>
                </c:cat>
                <c:val>
                  <c:numRef>
                    <c:extLst xmlns:c15="http://schemas.microsoft.com/office/drawing/2012/chart">
                      <c:ext xmlns:c15="http://schemas.microsoft.com/office/drawing/2012/chart" uri="{02D57815-91ED-43cb-92C2-25804820EDAC}">
                        <c15:formulaRef>
                          <c15:sqref>Bottom_5_Ratings!$K$2:$K$6</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9-E73A-4EC1-AC1B-5314095EFF67}"/>
                  </c:ext>
                </c:extLst>
              </c15:ser>
            </c15:filteredBarSeries>
          </c:ext>
        </c:extLst>
      </c:barChart>
      <c:catAx>
        <c:axId val="19058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5967"/>
        <c:crosses val="autoZero"/>
        <c:auto val="1"/>
        <c:lblAlgn val="ctr"/>
        <c:lblOffset val="100"/>
        <c:noMultiLvlLbl val="0"/>
      </c:catAx>
      <c:valAx>
        <c:axId val="190587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7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Top_5_Ratings!$H$1</c:f>
              <c:strCache>
                <c:ptCount val="1"/>
                <c:pt idx="0">
                  <c:v>Ratingd</c:v>
                </c:pt>
              </c:strCache>
            </c:strRef>
          </c:tx>
          <c:spPr>
            <a:solidFill>
              <a:schemeClr val="accent1">
                <a:lumMod val="60000"/>
              </a:schemeClr>
            </a:solidFill>
            <a:ln>
              <a:noFill/>
            </a:ln>
            <a:effectLst/>
          </c:spPr>
          <c:invertIfNegative val="0"/>
          <c:cat>
            <c:strRef>
              <c:f>Top_5_Ratings!$A$2:$A$8</c:f>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f>Top_5_Ratings!$H$2:$H$8</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6-FAC8-460A-BBF2-08DFEFBEEBFA}"/>
            </c:ext>
          </c:extLst>
        </c:ser>
        <c:dLbls>
          <c:showLegendKey val="0"/>
          <c:showVal val="0"/>
          <c:showCatName val="0"/>
          <c:showSerName val="0"/>
          <c:showPercent val="0"/>
          <c:showBubbleSize val="0"/>
        </c:dLbls>
        <c:gapWidth val="219"/>
        <c:overlap val="-27"/>
        <c:axId val="1460983599"/>
        <c:axId val="1460980239"/>
        <c:extLst>
          <c:ext xmlns:c15="http://schemas.microsoft.com/office/drawing/2012/chart" uri="{02D57815-91ED-43cb-92C2-25804820EDAC}">
            <c15:filteredBarSeries>
              <c15:ser>
                <c:idx val="0"/>
                <c:order val="0"/>
                <c:tx>
                  <c:strRef>
                    <c:extLst>
                      <c:ext uri="{02D57815-91ED-43cb-92C2-25804820EDAC}">
                        <c15:formulaRef>
                          <c15:sqref>Top_5_Ratings!$B$1</c15:sqref>
                        </c15:formulaRef>
                      </c:ext>
                    </c:extLst>
                    <c:strCache>
                      <c:ptCount val="1"/>
                      <c:pt idx="0">
                        <c:v>Current price</c:v>
                      </c:pt>
                    </c:strCache>
                  </c:strRef>
                </c:tx>
                <c:spPr>
                  <a:solidFill>
                    <a:schemeClr val="accent1"/>
                  </a:solidFill>
                  <a:ln>
                    <a:noFill/>
                  </a:ln>
                  <a:effectLst/>
                </c:spPr>
                <c:invertIfNegative val="0"/>
                <c:cat>
                  <c:strRef>
                    <c:extLst>
                      <c:ex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c:ext uri="{02D57815-91ED-43cb-92C2-25804820EDAC}">
                        <c15:formulaRef>
                          <c15:sqref>Top_5_Ratings!$B$2:$B$8</c15:sqref>
                        </c15:formulaRef>
                      </c:ext>
                    </c:extLst>
                    <c:numCache>
                      <c:formatCode>_(* #,##0.00_);_(* \(#,##0.00\);_(* "-"??_);_(@_)</c:formatCode>
                      <c:ptCount val="7"/>
                      <c:pt idx="0">
                        <c:v>332</c:v>
                      </c:pt>
                      <c:pt idx="1">
                        <c:v>195</c:v>
                      </c:pt>
                      <c:pt idx="2">
                        <c:v>2025</c:v>
                      </c:pt>
                      <c:pt idx="3">
                        <c:v>1620</c:v>
                      </c:pt>
                      <c:pt idx="4">
                        <c:v>171</c:v>
                      </c:pt>
                      <c:pt idx="5">
                        <c:v>979</c:v>
                      </c:pt>
                      <c:pt idx="6">
                        <c:v>3640</c:v>
                      </c:pt>
                    </c:numCache>
                  </c:numRef>
                </c:val>
                <c:extLst>
                  <c:ext xmlns:c16="http://schemas.microsoft.com/office/drawing/2014/chart" uri="{C3380CC4-5D6E-409C-BE32-E72D297353CC}">
                    <c16:uniqueId val="{00000000-FAC8-460A-BBF2-08DFEFBEEBF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Top_5_Ratings!$C$1</c15:sqref>
                        </c15:formulaRef>
                      </c:ext>
                    </c:extLst>
                    <c:strCache>
                      <c:ptCount val="1"/>
                      <c:pt idx="0">
                        <c:v> old price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Top_5_Ratings!$C$2:$C$8</c15:sqref>
                        </c15:formulaRef>
                      </c:ext>
                    </c:extLst>
                    <c:numCache>
                      <c:formatCode>_(* #,##0.00_);_(* \(#,##0.00\);_(* "-"??_);_(@_)</c:formatCode>
                      <c:ptCount val="7"/>
                      <c:pt idx="0">
                        <c:v>684</c:v>
                      </c:pt>
                      <c:pt idx="1">
                        <c:v>360</c:v>
                      </c:pt>
                      <c:pt idx="2">
                        <c:v>3971</c:v>
                      </c:pt>
                      <c:pt idx="3">
                        <c:v>2690</c:v>
                      </c:pt>
                      <c:pt idx="4">
                        <c:v>360</c:v>
                      </c:pt>
                      <c:pt idx="5">
                        <c:v>1920</c:v>
                      </c:pt>
                      <c:pt idx="6">
                        <c:v>4588</c:v>
                      </c:pt>
                    </c:numCache>
                  </c:numRef>
                </c:val>
                <c:extLst xmlns:c15="http://schemas.microsoft.com/office/drawing/2012/chart">
                  <c:ext xmlns:c16="http://schemas.microsoft.com/office/drawing/2014/chart" uri="{C3380CC4-5D6E-409C-BE32-E72D297353CC}">
                    <c16:uniqueId val="{00000001-FAC8-460A-BBF2-08DFEFBEEBF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Top_5_Ratings!$D$1</c15:sqref>
                        </c15:formulaRef>
                      </c:ext>
                    </c:extLst>
                    <c:strCache>
                      <c:ptCount val="1"/>
                      <c:pt idx="0">
                        <c:v>Discount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Top_5_Ratings!$D$2:$D$8</c15:sqref>
                        </c15:formulaRef>
                      </c:ext>
                    </c:extLst>
                    <c:numCache>
                      <c:formatCode>0%</c:formatCode>
                      <c:ptCount val="7"/>
                      <c:pt idx="0">
                        <c:v>0.51</c:v>
                      </c:pt>
                      <c:pt idx="1">
                        <c:v>0.46</c:v>
                      </c:pt>
                      <c:pt idx="2">
                        <c:v>0.49</c:v>
                      </c:pt>
                      <c:pt idx="3">
                        <c:v>0.4</c:v>
                      </c:pt>
                      <c:pt idx="4">
                        <c:v>0.53</c:v>
                      </c:pt>
                      <c:pt idx="5">
                        <c:v>0.49</c:v>
                      </c:pt>
                      <c:pt idx="6">
                        <c:v>0.21</c:v>
                      </c:pt>
                    </c:numCache>
                  </c:numRef>
                </c:val>
                <c:extLst xmlns:c15="http://schemas.microsoft.com/office/drawing/2012/chart">
                  <c:ext xmlns:c16="http://schemas.microsoft.com/office/drawing/2014/chart" uri="{C3380CC4-5D6E-409C-BE32-E72D297353CC}">
                    <c16:uniqueId val="{00000002-FAC8-460A-BBF2-08DFEFBEEBF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Top_5_Ratings!$E$1</c15:sqref>
                        </c15:formulaRef>
                      </c:ext>
                    </c:extLst>
                    <c:strCache>
                      <c:ptCount val="1"/>
                      <c:pt idx="0">
                        <c:v>Discount </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Top_5_Ratings!$E$2:$E$8</c15:sqref>
                        </c15:formulaRef>
                      </c:ext>
                    </c:extLst>
                    <c:numCache>
                      <c:formatCode>0.00</c:formatCode>
                      <c:ptCount val="7"/>
                      <c:pt idx="0">
                        <c:v>0.51</c:v>
                      </c:pt>
                      <c:pt idx="1">
                        <c:v>0.46</c:v>
                      </c:pt>
                      <c:pt idx="2">
                        <c:v>0.49</c:v>
                      </c:pt>
                      <c:pt idx="3">
                        <c:v>0.4</c:v>
                      </c:pt>
                      <c:pt idx="4">
                        <c:v>0.53</c:v>
                      </c:pt>
                      <c:pt idx="5">
                        <c:v>0.49</c:v>
                      </c:pt>
                      <c:pt idx="6">
                        <c:v>0.21</c:v>
                      </c:pt>
                    </c:numCache>
                  </c:numRef>
                </c:val>
                <c:extLst xmlns:c15="http://schemas.microsoft.com/office/drawing/2012/chart">
                  <c:ext xmlns:c16="http://schemas.microsoft.com/office/drawing/2014/chart" uri="{C3380CC4-5D6E-409C-BE32-E72D297353CC}">
                    <c16:uniqueId val="{00000003-FAC8-460A-BBF2-08DFEFBEEBF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Top_5_Ratings!$F$1</c15:sqref>
                        </c15:formulaRef>
                      </c:ext>
                    </c:extLst>
                    <c:strCache>
                      <c:ptCount val="1"/>
                      <c:pt idx="0">
                        <c:v>Review</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Top_5_Ratings!$F$2:$F$8</c15:sqref>
                        </c15:formulaRef>
                      </c:ext>
                    </c:extLst>
                    <c:numCache>
                      <c:formatCode>General</c:formatCode>
                      <c:ptCount val="7"/>
                      <c:pt idx="0">
                        <c:v>-2</c:v>
                      </c:pt>
                      <c:pt idx="1">
                        <c:v>-2</c:v>
                      </c:pt>
                      <c:pt idx="2">
                        <c:v>-3</c:v>
                      </c:pt>
                      <c:pt idx="3">
                        <c:v>-1</c:v>
                      </c:pt>
                      <c:pt idx="4">
                        <c:v>-2</c:v>
                      </c:pt>
                      <c:pt idx="5">
                        <c:v>-1</c:v>
                      </c:pt>
                      <c:pt idx="6">
                        <c:v>-1</c:v>
                      </c:pt>
                    </c:numCache>
                  </c:numRef>
                </c:val>
                <c:extLst xmlns:c15="http://schemas.microsoft.com/office/drawing/2012/chart">
                  <c:ext xmlns:c16="http://schemas.microsoft.com/office/drawing/2014/chart" uri="{C3380CC4-5D6E-409C-BE32-E72D297353CC}">
                    <c16:uniqueId val="{00000004-FAC8-460A-BBF2-08DFEFBEEBF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Top_5_Ratings!$G$1</c15:sqref>
                        </c15:formulaRef>
                      </c:ext>
                    </c:extLst>
                    <c:strCache>
                      <c:ptCount val="1"/>
                      <c:pt idx="0">
                        <c:v>Review</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Top_5_Ratings!$G$2:$G$8</c15:sqref>
                        </c15:formulaRef>
                      </c:ext>
                    </c:extLst>
                    <c:numCache>
                      <c:formatCode>General</c:formatCode>
                      <c:ptCount val="7"/>
                      <c:pt idx="0">
                        <c:v>0</c:v>
                      </c:pt>
                      <c:pt idx="1">
                        <c:v>0</c:v>
                      </c:pt>
                      <c:pt idx="2">
                        <c:v>0</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05-FAC8-460A-BBF2-08DFEFBEEBF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Top_5_Ratings!$I$1</c15:sqref>
                        </c15:formulaRef>
                      </c:ext>
                    </c:extLst>
                    <c:strCache>
                      <c:ptCount val="1"/>
                      <c:pt idx="0">
                        <c:v>absolute discount amount</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Top_5_Ratings!$I$2:$I$8</c15:sqref>
                        </c15:formulaRef>
                      </c:ext>
                    </c:extLst>
                    <c:numCache>
                      <c:formatCode>General</c:formatCode>
                      <c:ptCount val="7"/>
                      <c:pt idx="0">
                        <c:v>352</c:v>
                      </c:pt>
                      <c:pt idx="1">
                        <c:v>165</c:v>
                      </c:pt>
                      <c:pt idx="2">
                        <c:v>1946</c:v>
                      </c:pt>
                      <c:pt idx="3">
                        <c:v>1070</c:v>
                      </c:pt>
                      <c:pt idx="4">
                        <c:v>189</c:v>
                      </c:pt>
                      <c:pt idx="5">
                        <c:v>941</c:v>
                      </c:pt>
                      <c:pt idx="6">
                        <c:v>948</c:v>
                      </c:pt>
                    </c:numCache>
                  </c:numRef>
                </c:val>
                <c:extLst xmlns:c15="http://schemas.microsoft.com/office/drawing/2012/chart">
                  <c:ext xmlns:c16="http://schemas.microsoft.com/office/drawing/2014/chart" uri="{C3380CC4-5D6E-409C-BE32-E72D297353CC}">
                    <c16:uniqueId val="{00000007-FAC8-460A-BBF2-08DFEFBEEBF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Top_5_Ratings!$J$1</c15:sqref>
                        </c15:formulaRef>
                      </c:ext>
                    </c:extLst>
                    <c:strCache>
                      <c:ptCount val="1"/>
                      <c:pt idx="0">
                        <c:v>Product Category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Top_5_Ratings!$J$2:$J$8</c15:sqref>
                        </c15:formulaRef>
                      </c:ext>
                    </c:extLst>
                    <c:numCache>
                      <c:formatCode>General</c:formatCode>
                      <c:ptCount val="7"/>
                      <c:pt idx="0">
                        <c:v>0</c:v>
                      </c:pt>
                      <c:pt idx="1">
                        <c:v>0</c:v>
                      </c:pt>
                      <c:pt idx="2">
                        <c:v>0</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08-FAC8-460A-BBF2-08DFEFBEEBFA}"/>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Top_5_Ratings!$K$1</c15:sqref>
                        </c15:formulaRef>
                      </c:ext>
                    </c:extLst>
                    <c:strCache>
                      <c:ptCount val="1"/>
                      <c:pt idx="0">
                        <c:v>Discount Category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Top_5_Ratings!$A$2:$A$8</c15:sqref>
                        </c15:formulaRef>
                      </c:ext>
                    </c:extLst>
                    <c:strCache>
                      <c:ptCount val="7"/>
                      <c:pt idx="0">
                        <c:v>Anti-Skid Absorbent Insulation Coaster  For Home Office</c:v>
                      </c:pt>
                      <c:pt idx="1">
                        <c:v>Peacock  Throw Pillow Cushion Case For Home Car</c:v>
                      </c:pt>
                      <c:pt idx="2">
                        <c:v>LASA Aluminum Folding Truck Hand Cart - 68kg Max</c:v>
                      </c:pt>
                      <c:pt idx="3">
                        <c:v>DIY File Folder, Office Drawer File Holder, Pen Holder, Desktop Storage Rack</c:v>
                      </c:pt>
                      <c:pt idx="4">
                        <c:v>Classic Black Cat Cotton Hemp Pillow Case For Home Car</c:v>
                      </c:pt>
                      <c:pt idx="5">
                        <c:v>Bedroom Simple Floor Hanging Clothes Rack Single Pole Hat Rack - White</c:v>
                      </c:pt>
                      <c:pt idx="6">
                        <c:v>Konka Healty Electric Kettle, 24-hour Heat Preservation,1.5L,800W, White</c:v>
                      </c:pt>
                    </c:strCache>
                  </c:strRef>
                </c:cat>
                <c:val>
                  <c:numRef>
                    <c:extLst xmlns:c15="http://schemas.microsoft.com/office/drawing/2012/chart">
                      <c:ext xmlns:c15="http://schemas.microsoft.com/office/drawing/2012/chart" uri="{02D57815-91ED-43cb-92C2-25804820EDAC}">
                        <c15:formulaRef>
                          <c15:sqref>Top_5_Ratings!$K$2:$K$8</c15:sqref>
                        </c15:formulaRef>
                      </c:ext>
                    </c:extLst>
                    <c:numCache>
                      <c:formatCode>General</c:formatCode>
                      <c:ptCount val="7"/>
                      <c:pt idx="0">
                        <c:v>0</c:v>
                      </c:pt>
                      <c:pt idx="1">
                        <c:v>0</c:v>
                      </c:pt>
                      <c:pt idx="2">
                        <c:v>0</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09-FAC8-460A-BBF2-08DFEFBEEBFA}"/>
                  </c:ext>
                </c:extLst>
              </c15:ser>
            </c15:filteredBarSeries>
          </c:ext>
        </c:extLst>
      </c:barChart>
      <c:catAx>
        <c:axId val="14609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80239"/>
        <c:crosses val="autoZero"/>
        <c:auto val="1"/>
        <c:lblAlgn val="ctr"/>
        <c:lblOffset val="100"/>
        <c:noMultiLvlLbl val="0"/>
      </c:catAx>
      <c:valAx>
        <c:axId val="146098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83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Top_10_Disc_Rating!$D$1</c:f>
              <c:strCache>
                <c:ptCount val="1"/>
                <c:pt idx="0">
                  <c:v>Discount</c:v>
                </c:pt>
              </c:strCache>
            </c:strRef>
          </c:tx>
          <c:spPr>
            <a:solidFill>
              <a:schemeClr val="accent3"/>
            </a:solidFill>
            <a:ln>
              <a:noFill/>
            </a:ln>
            <a:effectLst/>
          </c:spPr>
          <c:invertIfNegative val="0"/>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Top_10_Disc_Rating!$D$2:$D$11</c:f>
              <c:numCache>
                <c:formatCode>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extLst>
            <c:ext xmlns:c16="http://schemas.microsoft.com/office/drawing/2014/chart" uri="{C3380CC4-5D6E-409C-BE32-E72D297353CC}">
              <c16:uniqueId val="{00000002-BA28-46A9-9CFA-C6A906DF3B71}"/>
            </c:ext>
          </c:extLst>
        </c:ser>
        <c:dLbls>
          <c:showLegendKey val="0"/>
          <c:showVal val="0"/>
          <c:showCatName val="0"/>
          <c:showSerName val="0"/>
          <c:showPercent val="0"/>
          <c:showBubbleSize val="0"/>
        </c:dLbls>
        <c:gapWidth val="219"/>
        <c:overlap val="-27"/>
        <c:axId val="1452943727"/>
        <c:axId val="1452934127"/>
        <c:extLst>
          <c:ext xmlns:c15="http://schemas.microsoft.com/office/drawing/2012/chart" uri="{02D57815-91ED-43cb-92C2-25804820EDAC}">
            <c15:filteredBarSeries>
              <c15:ser>
                <c:idx val="0"/>
                <c:order val="0"/>
                <c:tx>
                  <c:strRef>
                    <c:extLst>
                      <c:ext uri="{02D57815-91ED-43cb-92C2-25804820EDAC}">
                        <c15:formulaRef>
                          <c15:sqref>Top_10_Disc_Rating!$B$1</c15:sqref>
                        </c15:formulaRef>
                      </c:ext>
                    </c:extLst>
                    <c:strCache>
                      <c:ptCount val="1"/>
                      <c:pt idx="0">
                        <c:v>Current price</c:v>
                      </c:pt>
                    </c:strCache>
                  </c:strRef>
                </c:tx>
                <c:spPr>
                  <a:solidFill>
                    <a:schemeClr val="accent1"/>
                  </a:solidFill>
                  <a:ln>
                    <a:noFill/>
                  </a:ln>
                  <a:effectLst/>
                </c:spPr>
                <c:invertIfNegative val="0"/>
                <c:cat>
                  <c:strRef>
                    <c:extLst>
                      <c:ex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c:ext uri="{02D57815-91ED-43cb-92C2-25804820EDAC}">
                        <c15:formulaRef>
                          <c15:sqref>Top_10_Disc_Rating!$B$2:$B$11</c15:sqref>
                        </c15:formulaRef>
                      </c:ext>
                    </c:extLst>
                    <c:numCache>
                      <c:formatCode>_(* #,##0.00_);_(* \(#,##0.00\);_(* "-"??_);_(@_)</c:formatCode>
                      <c:ptCount val="10"/>
                      <c:pt idx="0">
                        <c:v>1274</c:v>
                      </c:pt>
                      <c:pt idx="1">
                        <c:v>2115</c:v>
                      </c:pt>
                      <c:pt idx="2">
                        <c:v>2048</c:v>
                      </c:pt>
                      <c:pt idx="3">
                        <c:v>458</c:v>
                      </c:pt>
                      <c:pt idx="4">
                        <c:v>38</c:v>
                      </c:pt>
                      <c:pt idx="5">
                        <c:v>171</c:v>
                      </c:pt>
                      <c:pt idx="6">
                        <c:v>185</c:v>
                      </c:pt>
                      <c:pt idx="7">
                        <c:v>325</c:v>
                      </c:pt>
                      <c:pt idx="8">
                        <c:v>332</c:v>
                      </c:pt>
                      <c:pt idx="9">
                        <c:v>1000</c:v>
                      </c:pt>
                    </c:numCache>
                  </c:numRef>
                </c:val>
                <c:extLst>
                  <c:ext xmlns:c16="http://schemas.microsoft.com/office/drawing/2014/chart" uri="{C3380CC4-5D6E-409C-BE32-E72D297353CC}">
                    <c16:uniqueId val="{00000000-BA28-46A9-9CFA-C6A906DF3B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Top_10_Disc_Rating!$C$1</c15:sqref>
                        </c15:formulaRef>
                      </c:ext>
                    </c:extLst>
                    <c:strCache>
                      <c:ptCount val="1"/>
                      <c:pt idx="0">
                        <c:v> old price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Top_10_Disc_Rating!$C$2:$C$11</c15:sqref>
                        </c15:formulaRef>
                      </c:ext>
                    </c:extLst>
                    <c:numCache>
                      <c:formatCode>_(* #,##0.00_);_(* \(#,##0.00\);_(* "-"??_);_(@_)</c:formatCode>
                      <c:ptCount val="10"/>
                      <c:pt idx="0">
                        <c:v>2800</c:v>
                      </c:pt>
                      <c:pt idx="1">
                        <c:v>4700</c:v>
                      </c:pt>
                      <c:pt idx="2">
                        <c:v>4500</c:v>
                      </c:pt>
                      <c:pt idx="3">
                        <c:v>986</c:v>
                      </c:pt>
                      <c:pt idx="4">
                        <c:v>80</c:v>
                      </c:pt>
                      <c:pt idx="5">
                        <c:v>360</c:v>
                      </c:pt>
                      <c:pt idx="6">
                        <c:v>382</c:v>
                      </c:pt>
                      <c:pt idx="7">
                        <c:v>680</c:v>
                      </c:pt>
                      <c:pt idx="8">
                        <c:v>684</c:v>
                      </c:pt>
                      <c:pt idx="9">
                        <c:v>2000</c:v>
                      </c:pt>
                    </c:numCache>
                  </c:numRef>
                </c:val>
                <c:extLst xmlns:c15="http://schemas.microsoft.com/office/drawing/2012/chart">
                  <c:ext xmlns:c16="http://schemas.microsoft.com/office/drawing/2014/chart" uri="{C3380CC4-5D6E-409C-BE32-E72D297353CC}">
                    <c16:uniqueId val="{00000001-BA28-46A9-9CFA-C6A906DF3B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Top_10_Disc_Rating!$E$1</c15:sqref>
                        </c15:formulaRef>
                      </c:ext>
                    </c:extLst>
                    <c:strCache>
                      <c:ptCount val="1"/>
                      <c:pt idx="0">
                        <c:v>Discount </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Top_10_Disc_Rating!$E$2:$E$11</c15:sqref>
                        </c15:formulaRef>
                      </c:ext>
                    </c:extLst>
                    <c:numCache>
                      <c:formatCode>0.00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extLst xmlns:c15="http://schemas.microsoft.com/office/drawing/2012/chart">
                  <c:ext xmlns:c16="http://schemas.microsoft.com/office/drawing/2014/chart" uri="{C3380CC4-5D6E-409C-BE32-E72D297353CC}">
                    <c16:uniqueId val="{00000003-BA28-46A9-9CFA-C6A906DF3B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Top_10_Disc_Rating!$F$1</c15:sqref>
                        </c15:formulaRef>
                      </c:ext>
                    </c:extLst>
                    <c:strCache>
                      <c:ptCount val="1"/>
                      <c:pt idx="0">
                        <c:v>Review</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Top_10_Disc_Rating!$F$2:$F$11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extLst xmlns:c15="http://schemas.microsoft.com/office/drawing/2012/chart">
                  <c:ext xmlns:c16="http://schemas.microsoft.com/office/drawing/2014/chart" uri="{C3380CC4-5D6E-409C-BE32-E72D297353CC}">
                    <c16:uniqueId val="{00000004-BA28-46A9-9CFA-C6A906DF3B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Top_10_Disc_Rating!$G$1</c15:sqref>
                        </c15:formulaRef>
                      </c:ext>
                    </c:extLst>
                    <c:strCache>
                      <c:ptCount val="1"/>
                      <c:pt idx="0">
                        <c:v>Review</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Top_10_Disc_Rating!$G$2:$G$11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extLst xmlns:c15="http://schemas.microsoft.com/office/drawing/2012/chart">
                  <c:ext xmlns:c16="http://schemas.microsoft.com/office/drawing/2014/chart" uri="{C3380CC4-5D6E-409C-BE32-E72D297353CC}">
                    <c16:uniqueId val="{00000005-BA28-46A9-9CFA-C6A906DF3B71}"/>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Top_10_Disc_Rating!$H$1</c15:sqref>
                        </c15:formulaRef>
                      </c:ext>
                    </c:extLst>
                    <c:strCache>
                      <c:ptCount val="1"/>
                      <c:pt idx="0">
                        <c:v>Ratingd</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Top_10_Disc_Rating!$H$2:$H$11</c15:sqref>
                        </c15:formulaRef>
                      </c:ext>
                    </c:extLst>
                    <c:numCache>
                      <c:formatCode>General</c:formatCode>
                      <c:ptCount val="10"/>
                      <c:pt idx="0">
                        <c:v>4.8</c:v>
                      </c:pt>
                      <c:pt idx="1">
                        <c:v>2.1</c:v>
                      </c:pt>
                      <c:pt idx="2">
                        <c:v>4.3</c:v>
                      </c:pt>
                      <c:pt idx="3">
                        <c:v>3</c:v>
                      </c:pt>
                      <c:pt idx="4">
                        <c:v>3.3</c:v>
                      </c:pt>
                      <c:pt idx="5">
                        <c:v>5</c:v>
                      </c:pt>
                      <c:pt idx="6">
                        <c:v>4.3</c:v>
                      </c:pt>
                      <c:pt idx="7">
                        <c:v>2.7</c:v>
                      </c:pt>
                      <c:pt idx="8">
                        <c:v>5</c:v>
                      </c:pt>
                      <c:pt idx="9">
                        <c:v>2.2999999999999998</c:v>
                      </c:pt>
                    </c:numCache>
                  </c:numRef>
                </c:val>
                <c:extLst xmlns:c15="http://schemas.microsoft.com/office/drawing/2012/chart">
                  <c:ext xmlns:c16="http://schemas.microsoft.com/office/drawing/2014/chart" uri="{C3380CC4-5D6E-409C-BE32-E72D297353CC}">
                    <c16:uniqueId val="{00000006-BA28-46A9-9CFA-C6A906DF3B71}"/>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Top_10_Disc_Rating!$I$1</c15:sqref>
                        </c15:formulaRef>
                      </c:ext>
                    </c:extLst>
                    <c:strCache>
                      <c:ptCount val="1"/>
                      <c:pt idx="0">
                        <c:v>absolute discount amount</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Top_10_Disc_Rating!$I$2:$I$11</c15:sqref>
                        </c15:formulaRef>
                      </c:ext>
                    </c:extLst>
                    <c:numCache>
                      <c:formatCode>General</c:formatCode>
                      <c:ptCount val="10"/>
                      <c:pt idx="0">
                        <c:v>1526</c:v>
                      </c:pt>
                      <c:pt idx="1">
                        <c:v>2585</c:v>
                      </c:pt>
                      <c:pt idx="2">
                        <c:v>2452</c:v>
                      </c:pt>
                      <c:pt idx="3">
                        <c:v>528</c:v>
                      </c:pt>
                      <c:pt idx="4">
                        <c:v>42</c:v>
                      </c:pt>
                      <c:pt idx="5">
                        <c:v>189</c:v>
                      </c:pt>
                      <c:pt idx="6">
                        <c:v>197</c:v>
                      </c:pt>
                      <c:pt idx="7">
                        <c:v>355</c:v>
                      </c:pt>
                      <c:pt idx="8">
                        <c:v>352</c:v>
                      </c:pt>
                      <c:pt idx="9">
                        <c:v>1000</c:v>
                      </c:pt>
                    </c:numCache>
                  </c:numRef>
                </c:val>
                <c:extLst xmlns:c15="http://schemas.microsoft.com/office/drawing/2012/chart">
                  <c:ext xmlns:c16="http://schemas.microsoft.com/office/drawing/2014/chart" uri="{C3380CC4-5D6E-409C-BE32-E72D297353CC}">
                    <c16:uniqueId val="{00000007-BA28-46A9-9CFA-C6A906DF3B71}"/>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Top_10_Disc_Rating!$J$1</c15:sqref>
                        </c15:formulaRef>
                      </c:ext>
                    </c:extLst>
                    <c:strCache>
                      <c:ptCount val="1"/>
                      <c:pt idx="0">
                        <c:v>Product Category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8-BA28-46A9-9CFA-C6A906DF3B71}"/>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Top_10_Disc_Rating!$K$1</c15:sqref>
                        </c15:formulaRef>
                      </c:ext>
                    </c:extLst>
                    <c:strCache>
                      <c:ptCount val="1"/>
                      <c:pt idx="0">
                        <c:v>Discount Category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9-BA28-46A9-9CFA-C6A906DF3B71}"/>
                  </c:ext>
                </c:extLst>
              </c15:ser>
            </c15:filteredBarSeries>
          </c:ext>
        </c:extLst>
      </c:barChart>
      <c:catAx>
        <c:axId val="14529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4127"/>
        <c:crosses val="autoZero"/>
        <c:auto val="1"/>
        <c:lblAlgn val="ctr"/>
        <c:lblOffset val="100"/>
        <c:noMultiLvlLbl val="0"/>
      </c:catAx>
      <c:valAx>
        <c:axId val="1452934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43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Top_10_Disc_Rating!$H$1</c:f>
              <c:strCache>
                <c:ptCount val="1"/>
                <c:pt idx="0">
                  <c:v>Ratingd</c:v>
                </c:pt>
              </c:strCache>
            </c:strRef>
          </c:tx>
          <c:spPr>
            <a:solidFill>
              <a:schemeClr val="accent1">
                <a:lumMod val="60000"/>
              </a:schemeClr>
            </a:solidFill>
            <a:ln>
              <a:noFill/>
            </a:ln>
            <a:effectLst/>
          </c:spPr>
          <c:invertIfNegative val="0"/>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Top_10_Disc_Rating!$H$2:$H$11</c:f>
              <c:numCache>
                <c:formatCode>General</c:formatCode>
                <c:ptCount val="10"/>
                <c:pt idx="0">
                  <c:v>4.8</c:v>
                </c:pt>
                <c:pt idx="1">
                  <c:v>2.1</c:v>
                </c:pt>
                <c:pt idx="2">
                  <c:v>4.3</c:v>
                </c:pt>
                <c:pt idx="3">
                  <c:v>3</c:v>
                </c:pt>
                <c:pt idx="4">
                  <c:v>3.3</c:v>
                </c:pt>
                <c:pt idx="5">
                  <c:v>5</c:v>
                </c:pt>
                <c:pt idx="6">
                  <c:v>4.3</c:v>
                </c:pt>
                <c:pt idx="7">
                  <c:v>2.7</c:v>
                </c:pt>
                <c:pt idx="8">
                  <c:v>5</c:v>
                </c:pt>
                <c:pt idx="9">
                  <c:v>2.2999999999999998</c:v>
                </c:pt>
              </c:numCache>
            </c:numRef>
          </c:val>
          <c:extLst>
            <c:ext xmlns:c16="http://schemas.microsoft.com/office/drawing/2014/chart" uri="{C3380CC4-5D6E-409C-BE32-E72D297353CC}">
              <c16:uniqueId val="{00000006-AA22-4859-99E2-6577BF1F966A}"/>
            </c:ext>
          </c:extLst>
        </c:ser>
        <c:dLbls>
          <c:showLegendKey val="0"/>
          <c:showVal val="0"/>
          <c:showCatName val="0"/>
          <c:showSerName val="0"/>
          <c:showPercent val="0"/>
          <c:showBubbleSize val="0"/>
        </c:dLbls>
        <c:gapWidth val="219"/>
        <c:overlap val="-27"/>
        <c:axId val="1905858207"/>
        <c:axId val="1905854367"/>
        <c:extLst>
          <c:ext xmlns:c15="http://schemas.microsoft.com/office/drawing/2012/chart" uri="{02D57815-91ED-43cb-92C2-25804820EDAC}">
            <c15:filteredBarSeries>
              <c15:ser>
                <c:idx val="0"/>
                <c:order val="0"/>
                <c:tx>
                  <c:strRef>
                    <c:extLst>
                      <c:ext uri="{02D57815-91ED-43cb-92C2-25804820EDAC}">
                        <c15:formulaRef>
                          <c15:sqref>Top_10_Disc_Rating!$B$1</c15:sqref>
                        </c15:formulaRef>
                      </c:ext>
                    </c:extLst>
                    <c:strCache>
                      <c:ptCount val="1"/>
                      <c:pt idx="0">
                        <c:v>Current price</c:v>
                      </c:pt>
                    </c:strCache>
                  </c:strRef>
                </c:tx>
                <c:spPr>
                  <a:solidFill>
                    <a:schemeClr val="accent1"/>
                  </a:solidFill>
                  <a:ln>
                    <a:noFill/>
                  </a:ln>
                  <a:effectLst/>
                </c:spPr>
                <c:invertIfNegative val="0"/>
                <c:cat>
                  <c:strRef>
                    <c:extLst>
                      <c:ex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c:ext uri="{02D57815-91ED-43cb-92C2-25804820EDAC}">
                        <c15:formulaRef>
                          <c15:sqref>Top_10_Disc_Rating!$B$2:$B$11</c15:sqref>
                        </c15:formulaRef>
                      </c:ext>
                    </c:extLst>
                    <c:numCache>
                      <c:formatCode>_(* #,##0.00_);_(* \(#,##0.00\);_(* "-"??_);_(@_)</c:formatCode>
                      <c:ptCount val="10"/>
                      <c:pt idx="0">
                        <c:v>1274</c:v>
                      </c:pt>
                      <c:pt idx="1">
                        <c:v>2115</c:v>
                      </c:pt>
                      <c:pt idx="2">
                        <c:v>2048</c:v>
                      </c:pt>
                      <c:pt idx="3">
                        <c:v>458</c:v>
                      </c:pt>
                      <c:pt idx="4">
                        <c:v>38</c:v>
                      </c:pt>
                      <c:pt idx="5">
                        <c:v>171</c:v>
                      </c:pt>
                      <c:pt idx="6">
                        <c:v>185</c:v>
                      </c:pt>
                      <c:pt idx="7">
                        <c:v>325</c:v>
                      </c:pt>
                      <c:pt idx="8">
                        <c:v>332</c:v>
                      </c:pt>
                      <c:pt idx="9">
                        <c:v>1000</c:v>
                      </c:pt>
                    </c:numCache>
                  </c:numRef>
                </c:val>
                <c:extLst>
                  <c:ext xmlns:c16="http://schemas.microsoft.com/office/drawing/2014/chart" uri="{C3380CC4-5D6E-409C-BE32-E72D297353CC}">
                    <c16:uniqueId val="{00000000-AA22-4859-99E2-6577BF1F966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Top_10_Disc_Rating!$C$1</c15:sqref>
                        </c15:formulaRef>
                      </c:ext>
                    </c:extLst>
                    <c:strCache>
                      <c:ptCount val="1"/>
                      <c:pt idx="0">
                        <c:v> old price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Top_10_Disc_Rating!$C$2:$C$11</c15:sqref>
                        </c15:formulaRef>
                      </c:ext>
                    </c:extLst>
                    <c:numCache>
                      <c:formatCode>_(* #,##0.00_);_(* \(#,##0.00\);_(* "-"??_);_(@_)</c:formatCode>
                      <c:ptCount val="10"/>
                      <c:pt idx="0">
                        <c:v>2800</c:v>
                      </c:pt>
                      <c:pt idx="1">
                        <c:v>4700</c:v>
                      </c:pt>
                      <c:pt idx="2">
                        <c:v>4500</c:v>
                      </c:pt>
                      <c:pt idx="3">
                        <c:v>986</c:v>
                      </c:pt>
                      <c:pt idx="4">
                        <c:v>80</c:v>
                      </c:pt>
                      <c:pt idx="5">
                        <c:v>360</c:v>
                      </c:pt>
                      <c:pt idx="6">
                        <c:v>382</c:v>
                      </c:pt>
                      <c:pt idx="7">
                        <c:v>680</c:v>
                      </c:pt>
                      <c:pt idx="8">
                        <c:v>684</c:v>
                      </c:pt>
                      <c:pt idx="9">
                        <c:v>2000</c:v>
                      </c:pt>
                    </c:numCache>
                  </c:numRef>
                </c:val>
                <c:extLst xmlns:c15="http://schemas.microsoft.com/office/drawing/2012/chart">
                  <c:ext xmlns:c16="http://schemas.microsoft.com/office/drawing/2014/chart" uri="{C3380CC4-5D6E-409C-BE32-E72D297353CC}">
                    <c16:uniqueId val="{00000001-AA22-4859-99E2-6577BF1F966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Top_10_Disc_Rating!$D$1</c15:sqref>
                        </c15:formulaRef>
                      </c:ext>
                    </c:extLst>
                    <c:strCache>
                      <c:ptCount val="1"/>
                      <c:pt idx="0">
                        <c:v>Discount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Top_10_Disc_Rating!$D$2:$D$11</c15:sqref>
                        </c15:formulaRef>
                      </c:ext>
                    </c:extLst>
                    <c:numCache>
                      <c:formatCode>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extLst xmlns:c15="http://schemas.microsoft.com/office/drawing/2012/chart">
                  <c:ext xmlns:c16="http://schemas.microsoft.com/office/drawing/2014/chart" uri="{C3380CC4-5D6E-409C-BE32-E72D297353CC}">
                    <c16:uniqueId val="{00000002-AA22-4859-99E2-6577BF1F966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Top_10_Disc_Rating!$E$1</c15:sqref>
                        </c15:formulaRef>
                      </c:ext>
                    </c:extLst>
                    <c:strCache>
                      <c:ptCount val="1"/>
                      <c:pt idx="0">
                        <c:v>Discount </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Top_10_Disc_Rating!$E$2:$E$11</c15:sqref>
                        </c15:formulaRef>
                      </c:ext>
                    </c:extLst>
                    <c:numCache>
                      <c:formatCode>0.00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extLst xmlns:c15="http://schemas.microsoft.com/office/drawing/2012/chart">
                  <c:ext xmlns:c16="http://schemas.microsoft.com/office/drawing/2014/chart" uri="{C3380CC4-5D6E-409C-BE32-E72D297353CC}">
                    <c16:uniqueId val="{00000003-AA22-4859-99E2-6577BF1F966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Top_10_Disc_Rating!$F$1</c15:sqref>
                        </c15:formulaRef>
                      </c:ext>
                    </c:extLst>
                    <c:strCache>
                      <c:ptCount val="1"/>
                      <c:pt idx="0">
                        <c:v>Review</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Top_10_Disc_Rating!$F$2:$F$11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extLst xmlns:c15="http://schemas.microsoft.com/office/drawing/2012/chart">
                  <c:ext xmlns:c16="http://schemas.microsoft.com/office/drawing/2014/chart" uri="{C3380CC4-5D6E-409C-BE32-E72D297353CC}">
                    <c16:uniqueId val="{00000004-AA22-4859-99E2-6577BF1F966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Top_10_Disc_Rating!$G$1</c15:sqref>
                        </c15:formulaRef>
                      </c:ext>
                    </c:extLst>
                    <c:strCache>
                      <c:ptCount val="1"/>
                      <c:pt idx="0">
                        <c:v>Review</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Top_10_Disc_Rating!$G$2:$G$11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extLst xmlns:c15="http://schemas.microsoft.com/office/drawing/2012/chart">
                  <c:ext xmlns:c16="http://schemas.microsoft.com/office/drawing/2014/chart" uri="{C3380CC4-5D6E-409C-BE32-E72D297353CC}">
                    <c16:uniqueId val="{00000005-AA22-4859-99E2-6577BF1F966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Top_10_Disc_Rating!$I$1</c15:sqref>
                        </c15:formulaRef>
                      </c:ext>
                    </c:extLst>
                    <c:strCache>
                      <c:ptCount val="1"/>
                      <c:pt idx="0">
                        <c:v>absolute discount amount</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Top_10_Disc_Rating!$I$2:$I$11</c15:sqref>
                        </c15:formulaRef>
                      </c:ext>
                    </c:extLst>
                    <c:numCache>
                      <c:formatCode>General</c:formatCode>
                      <c:ptCount val="10"/>
                      <c:pt idx="0">
                        <c:v>1526</c:v>
                      </c:pt>
                      <c:pt idx="1">
                        <c:v>2585</c:v>
                      </c:pt>
                      <c:pt idx="2">
                        <c:v>2452</c:v>
                      </c:pt>
                      <c:pt idx="3">
                        <c:v>528</c:v>
                      </c:pt>
                      <c:pt idx="4">
                        <c:v>42</c:v>
                      </c:pt>
                      <c:pt idx="5">
                        <c:v>189</c:v>
                      </c:pt>
                      <c:pt idx="6">
                        <c:v>197</c:v>
                      </c:pt>
                      <c:pt idx="7">
                        <c:v>355</c:v>
                      </c:pt>
                      <c:pt idx="8">
                        <c:v>352</c:v>
                      </c:pt>
                      <c:pt idx="9">
                        <c:v>1000</c:v>
                      </c:pt>
                    </c:numCache>
                  </c:numRef>
                </c:val>
                <c:extLst xmlns:c15="http://schemas.microsoft.com/office/drawing/2012/chart">
                  <c:ext xmlns:c16="http://schemas.microsoft.com/office/drawing/2014/chart" uri="{C3380CC4-5D6E-409C-BE32-E72D297353CC}">
                    <c16:uniqueId val="{00000007-AA22-4859-99E2-6577BF1F966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Top_10_Disc_Rating!$J$1</c15:sqref>
                        </c15:formulaRef>
                      </c:ext>
                    </c:extLst>
                    <c:strCache>
                      <c:ptCount val="1"/>
                      <c:pt idx="0">
                        <c:v>Product Category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8-AA22-4859-99E2-6577BF1F966A}"/>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Top_10_Disc_Rating!$K$1</c15:sqref>
                        </c15:formulaRef>
                      </c:ext>
                    </c:extLst>
                    <c:strCache>
                      <c:ptCount val="1"/>
                      <c:pt idx="0">
                        <c:v>Discount Category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9-AA22-4859-99E2-6577BF1F966A}"/>
                  </c:ext>
                </c:extLst>
              </c15:ser>
            </c15:filteredBarSeries>
          </c:ext>
        </c:extLst>
      </c:barChart>
      <c:catAx>
        <c:axId val="19058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54367"/>
        <c:crosses val="autoZero"/>
        <c:auto val="1"/>
        <c:lblAlgn val="ctr"/>
        <c:lblOffset val="100"/>
        <c:noMultiLvlLbl val="0"/>
      </c:catAx>
      <c:valAx>
        <c:axId val="190585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58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6"/>
          <c:order val="6"/>
          <c:tx>
            <c:strRef>
              <c:f>Top_10_Disc_Rating!$H$1</c:f>
              <c:strCache>
                <c:ptCount val="1"/>
                <c:pt idx="0">
                  <c:v>Ratingd</c:v>
                </c:pt>
              </c:strCache>
            </c:strRef>
          </c:tx>
          <c:spPr>
            <a:ln w="28575" cap="rnd">
              <a:solidFill>
                <a:schemeClr val="accent1">
                  <a:lumMod val="60000"/>
                </a:schemeClr>
              </a:solidFill>
              <a:round/>
            </a:ln>
            <a:effectLst/>
          </c:spPr>
          <c:marker>
            <c:symbol val="none"/>
          </c:marker>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Top_10_Disc_Rating!$H$2:$H$11</c:f>
              <c:numCache>
                <c:formatCode>General</c:formatCode>
                <c:ptCount val="10"/>
                <c:pt idx="0">
                  <c:v>4.8</c:v>
                </c:pt>
                <c:pt idx="1">
                  <c:v>2.1</c:v>
                </c:pt>
                <c:pt idx="2">
                  <c:v>4.3</c:v>
                </c:pt>
                <c:pt idx="3">
                  <c:v>3</c:v>
                </c:pt>
                <c:pt idx="4">
                  <c:v>3.3</c:v>
                </c:pt>
                <c:pt idx="5">
                  <c:v>5</c:v>
                </c:pt>
                <c:pt idx="6">
                  <c:v>4.3</c:v>
                </c:pt>
                <c:pt idx="7">
                  <c:v>2.7</c:v>
                </c:pt>
                <c:pt idx="8">
                  <c:v>5</c:v>
                </c:pt>
                <c:pt idx="9">
                  <c:v>2.2999999999999998</c:v>
                </c:pt>
              </c:numCache>
            </c:numRef>
          </c:val>
          <c:smooth val="0"/>
          <c:extLst>
            <c:ext xmlns:c16="http://schemas.microsoft.com/office/drawing/2014/chart" uri="{C3380CC4-5D6E-409C-BE32-E72D297353CC}">
              <c16:uniqueId val="{00000006-3733-4CC5-940E-182E4001BE14}"/>
            </c:ext>
          </c:extLst>
        </c:ser>
        <c:dLbls>
          <c:showLegendKey val="0"/>
          <c:showVal val="0"/>
          <c:showCatName val="0"/>
          <c:showSerName val="0"/>
          <c:showPercent val="0"/>
          <c:showBubbleSize val="0"/>
        </c:dLbls>
        <c:marker val="1"/>
        <c:smooth val="0"/>
        <c:axId val="1905829407"/>
        <c:axId val="1905831327"/>
      </c:lineChart>
      <c:lineChart>
        <c:grouping val="stacked"/>
        <c:varyColors val="0"/>
        <c:ser>
          <c:idx val="2"/>
          <c:order val="2"/>
          <c:tx>
            <c:strRef>
              <c:f>Top_10_Disc_Rating!$D$1</c:f>
              <c:strCache>
                <c:ptCount val="1"/>
                <c:pt idx="0">
                  <c:v>Discount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Top_10_Disc_Rating!$A$2:$A$11</c:f>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f>Top_10_Disc_Rating!$D$2:$D$11</c:f>
              <c:numCache>
                <c:formatCode>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smooth val="0"/>
          <c:extLst>
            <c:ext xmlns:c16="http://schemas.microsoft.com/office/drawing/2014/chart" uri="{C3380CC4-5D6E-409C-BE32-E72D297353CC}">
              <c16:uniqueId val="{00000002-3733-4CC5-940E-182E4001BE14}"/>
            </c:ext>
          </c:extLst>
        </c:ser>
        <c:dLbls>
          <c:showLegendKey val="0"/>
          <c:showVal val="0"/>
          <c:showCatName val="0"/>
          <c:showSerName val="0"/>
          <c:showPercent val="0"/>
          <c:showBubbleSize val="0"/>
        </c:dLbls>
        <c:marker val="1"/>
        <c:smooth val="0"/>
        <c:axId val="1648276767"/>
        <c:axId val="1648273887"/>
        <c:extLst>
          <c:ext xmlns:c15="http://schemas.microsoft.com/office/drawing/2012/chart" uri="{02D57815-91ED-43cb-92C2-25804820EDAC}">
            <c15:filteredLineSeries>
              <c15:ser>
                <c:idx val="0"/>
                <c:order val="0"/>
                <c:tx>
                  <c:strRef>
                    <c:extLst>
                      <c:ext uri="{02D57815-91ED-43cb-92C2-25804820EDAC}">
                        <c15:formulaRef>
                          <c15:sqref>Top_10_Disc_Rating!$B$1</c15:sqref>
                        </c15:formulaRef>
                      </c:ext>
                    </c:extLst>
                    <c:strCache>
                      <c:ptCount val="1"/>
                      <c:pt idx="0">
                        <c:v>Current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c:ext uri="{02D57815-91ED-43cb-92C2-25804820EDAC}">
                        <c15:formulaRef>
                          <c15:sqref>Top_10_Disc_Rating!$B$2:$B$11</c15:sqref>
                        </c15:formulaRef>
                      </c:ext>
                    </c:extLst>
                    <c:numCache>
                      <c:formatCode>_(* #,##0.00_);_(* \(#,##0.00\);_(* "-"??_);_(@_)</c:formatCode>
                      <c:ptCount val="10"/>
                      <c:pt idx="0">
                        <c:v>1274</c:v>
                      </c:pt>
                      <c:pt idx="1">
                        <c:v>2115</c:v>
                      </c:pt>
                      <c:pt idx="2">
                        <c:v>2048</c:v>
                      </c:pt>
                      <c:pt idx="3">
                        <c:v>458</c:v>
                      </c:pt>
                      <c:pt idx="4">
                        <c:v>38</c:v>
                      </c:pt>
                      <c:pt idx="5">
                        <c:v>171</c:v>
                      </c:pt>
                      <c:pt idx="6">
                        <c:v>185</c:v>
                      </c:pt>
                      <c:pt idx="7">
                        <c:v>325</c:v>
                      </c:pt>
                      <c:pt idx="8">
                        <c:v>332</c:v>
                      </c:pt>
                      <c:pt idx="9">
                        <c:v>1000</c:v>
                      </c:pt>
                    </c:numCache>
                  </c:numRef>
                </c:val>
                <c:smooth val="0"/>
                <c:extLst>
                  <c:ext xmlns:c16="http://schemas.microsoft.com/office/drawing/2014/chart" uri="{C3380CC4-5D6E-409C-BE32-E72D297353CC}">
                    <c16:uniqueId val="{00000000-3733-4CC5-940E-182E4001BE1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Top_10_Disc_Rating!$C$1</c15:sqref>
                        </c15:formulaRef>
                      </c:ext>
                    </c:extLst>
                    <c:strCache>
                      <c:ptCount val="1"/>
                      <c:pt idx="0">
                        <c:v> old price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Top_10_Disc_Rating!$C$2:$C$11</c15:sqref>
                        </c15:formulaRef>
                      </c:ext>
                    </c:extLst>
                    <c:numCache>
                      <c:formatCode>_(* #,##0.00_);_(* \(#,##0.00\);_(* "-"??_);_(@_)</c:formatCode>
                      <c:ptCount val="10"/>
                      <c:pt idx="0">
                        <c:v>2800</c:v>
                      </c:pt>
                      <c:pt idx="1">
                        <c:v>4700</c:v>
                      </c:pt>
                      <c:pt idx="2">
                        <c:v>4500</c:v>
                      </c:pt>
                      <c:pt idx="3">
                        <c:v>986</c:v>
                      </c:pt>
                      <c:pt idx="4">
                        <c:v>80</c:v>
                      </c:pt>
                      <c:pt idx="5">
                        <c:v>360</c:v>
                      </c:pt>
                      <c:pt idx="6">
                        <c:v>382</c:v>
                      </c:pt>
                      <c:pt idx="7">
                        <c:v>680</c:v>
                      </c:pt>
                      <c:pt idx="8">
                        <c:v>684</c:v>
                      </c:pt>
                      <c:pt idx="9">
                        <c:v>2000</c:v>
                      </c:pt>
                    </c:numCache>
                  </c:numRef>
                </c:val>
                <c:smooth val="0"/>
                <c:extLst xmlns:c15="http://schemas.microsoft.com/office/drawing/2012/chart">
                  <c:ext xmlns:c16="http://schemas.microsoft.com/office/drawing/2014/chart" uri="{C3380CC4-5D6E-409C-BE32-E72D297353CC}">
                    <c16:uniqueId val="{00000001-3733-4CC5-940E-182E4001BE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Top_10_Disc_Rating!$E$1</c15:sqref>
                        </c15:formulaRef>
                      </c:ext>
                    </c:extLst>
                    <c:strCache>
                      <c:ptCount val="1"/>
                      <c:pt idx="0">
                        <c:v>Discount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Top_10_Disc_Rating!$E$2:$E$11</c15:sqref>
                        </c15:formulaRef>
                      </c:ext>
                    </c:extLst>
                    <c:numCache>
                      <c:formatCode>0.00</c:formatCode>
                      <c:ptCount val="10"/>
                      <c:pt idx="0">
                        <c:v>0.55000000000000004</c:v>
                      </c:pt>
                      <c:pt idx="1">
                        <c:v>0.55000000000000004</c:v>
                      </c:pt>
                      <c:pt idx="2">
                        <c:v>0.54</c:v>
                      </c:pt>
                      <c:pt idx="3">
                        <c:v>0.54</c:v>
                      </c:pt>
                      <c:pt idx="4">
                        <c:v>0.53</c:v>
                      </c:pt>
                      <c:pt idx="5">
                        <c:v>0.53</c:v>
                      </c:pt>
                      <c:pt idx="6">
                        <c:v>0.52</c:v>
                      </c:pt>
                      <c:pt idx="7">
                        <c:v>0.52</c:v>
                      </c:pt>
                      <c:pt idx="8">
                        <c:v>0.51</c:v>
                      </c:pt>
                      <c:pt idx="9">
                        <c:v>0.5</c:v>
                      </c:pt>
                    </c:numCache>
                  </c:numRef>
                </c:val>
                <c:smooth val="0"/>
                <c:extLst xmlns:c15="http://schemas.microsoft.com/office/drawing/2012/chart">
                  <c:ext xmlns:c16="http://schemas.microsoft.com/office/drawing/2014/chart" uri="{C3380CC4-5D6E-409C-BE32-E72D297353CC}">
                    <c16:uniqueId val="{00000003-3733-4CC5-940E-182E4001BE1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Top_10_Disc_Rating!$F$1</c15:sqref>
                        </c15:formulaRef>
                      </c:ext>
                    </c:extLst>
                    <c:strCache>
                      <c:ptCount val="1"/>
                      <c:pt idx="0">
                        <c:v>Review</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Top_10_Disc_Rating!$F$2:$F$11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4-3733-4CC5-940E-182E4001BE1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Top_10_Disc_Rating!$G$1</c15:sqref>
                        </c15:formulaRef>
                      </c:ext>
                    </c:extLst>
                    <c:strCache>
                      <c:ptCount val="1"/>
                      <c:pt idx="0">
                        <c:v>Review</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Top_10_Disc_Rating!$G$2:$G$11</c15:sqref>
                        </c15:formulaRef>
                      </c:ext>
                    </c:extLst>
                    <c:numCache>
                      <c:formatCode>General</c:formatCode>
                      <c:ptCount val="10"/>
                      <c:pt idx="0">
                        <c:v>5</c:v>
                      </c:pt>
                      <c:pt idx="1">
                        <c:v>13</c:v>
                      </c:pt>
                      <c:pt idx="2">
                        <c:v>7</c:v>
                      </c:pt>
                      <c:pt idx="3">
                        <c:v>10</c:v>
                      </c:pt>
                      <c:pt idx="4">
                        <c:v>13</c:v>
                      </c:pt>
                      <c:pt idx="5">
                        <c:v>2</c:v>
                      </c:pt>
                      <c:pt idx="6">
                        <c:v>9</c:v>
                      </c:pt>
                      <c:pt idx="7">
                        <c:v>15</c:v>
                      </c:pt>
                      <c:pt idx="8">
                        <c:v>2</c:v>
                      </c:pt>
                      <c:pt idx="9">
                        <c:v>7</c:v>
                      </c:pt>
                    </c:numCache>
                  </c:numRef>
                </c:val>
                <c:smooth val="0"/>
                <c:extLst xmlns:c15="http://schemas.microsoft.com/office/drawing/2012/chart">
                  <c:ext xmlns:c16="http://schemas.microsoft.com/office/drawing/2014/chart" uri="{C3380CC4-5D6E-409C-BE32-E72D297353CC}">
                    <c16:uniqueId val="{00000005-3733-4CC5-940E-182E4001BE1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Top_10_Disc_Rating!$I$1</c15:sqref>
                        </c15:formulaRef>
                      </c:ext>
                    </c:extLst>
                    <c:strCache>
                      <c:ptCount val="1"/>
                      <c:pt idx="0">
                        <c:v>absolute discount amount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Top_10_Disc_Rating!$I$2:$I$11</c15:sqref>
                        </c15:formulaRef>
                      </c:ext>
                    </c:extLst>
                    <c:numCache>
                      <c:formatCode>General</c:formatCode>
                      <c:ptCount val="10"/>
                      <c:pt idx="0">
                        <c:v>1526</c:v>
                      </c:pt>
                      <c:pt idx="1">
                        <c:v>2585</c:v>
                      </c:pt>
                      <c:pt idx="2">
                        <c:v>2452</c:v>
                      </c:pt>
                      <c:pt idx="3">
                        <c:v>528</c:v>
                      </c:pt>
                      <c:pt idx="4">
                        <c:v>42</c:v>
                      </c:pt>
                      <c:pt idx="5">
                        <c:v>189</c:v>
                      </c:pt>
                      <c:pt idx="6">
                        <c:v>197</c:v>
                      </c:pt>
                      <c:pt idx="7">
                        <c:v>355</c:v>
                      </c:pt>
                      <c:pt idx="8">
                        <c:v>352</c:v>
                      </c:pt>
                      <c:pt idx="9">
                        <c:v>1000</c:v>
                      </c:pt>
                    </c:numCache>
                  </c:numRef>
                </c:val>
                <c:smooth val="0"/>
                <c:extLst xmlns:c15="http://schemas.microsoft.com/office/drawing/2012/chart">
                  <c:ext xmlns:c16="http://schemas.microsoft.com/office/drawing/2014/chart" uri="{C3380CC4-5D6E-409C-BE32-E72D297353CC}">
                    <c16:uniqueId val="{00000007-3733-4CC5-940E-182E4001BE1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Top_10_Disc_Rating!$J$1</c15:sqref>
                        </c15:formulaRef>
                      </c:ext>
                    </c:extLst>
                    <c:strCache>
                      <c:ptCount val="1"/>
                      <c:pt idx="0">
                        <c:v>Product Category</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8-3733-4CC5-940E-182E4001BE1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Top_10_Disc_Rating!$K$1</c15:sqref>
                        </c15:formulaRef>
                      </c:ext>
                    </c:extLst>
                    <c:strCache>
                      <c:ptCount val="1"/>
                      <c:pt idx="0">
                        <c:v>Discount Category</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xmlns:c15="http://schemas.microsoft.com/office/drawing/2012/chart">
                      <c:ext xmlns:c15="http://schemas.microsoft.com/office/drawing/2012/chart" uri="{02D57815-91ED-43cb-92C2-25804820EDAC}">
                        <c15:formulaRef>
                          <c15:sqref>Top_10_Disc_Rating!$A$2:$A$11</c15:sqref>
                        </c15:formulaRef>
                      </c:ext>
                    </c:extLst>
                    <c:strCache>
                      <c:ptCount val="10"/>
                      <c:pt idx="0">
                        <c:v>LASA FOLDING TABLE SERVING STAND</c:v>
                      </c:pt>
                      <c:pt idx="1">
                        <c:v>5-PCS Stainless Steel Cooking Pot Set With Steamed Slices</c:v>
                      </c:pt>
                      <c:pt idx="2">
                        <c:v>LASA 3 Tier Bamboo Shoe Bench Storage Shelf</c:v>
                      </c:pt>
                      <c:pt idx="3">
                        <c:v>Mythco 120COB Solar Wall Ligt With Motion Sensor And Remote Control 3 Modes</c:v>
                      </c:pt>
                      <c:pt idx="4">
                        <c:v>3PCS Single Head Knitting Crochet Sweater Needle Set</c:v>
                      </c:pt>
                      <c:pt idx="5">
                        <c:v>Classic Black Cat Cotton Hemp Pillow Case For Home Car</c:v>
                      </c:pt>
                      <c:pt idx="6">
                        <c:v>Exfoliate And Exfoliate Face Towel - Black</c:v>
                      </c:pt>
                      <c:pt idx="7">
                        <c:v>Intelligent  LED Body Sensor Wireless Lighting Night Light USB</c:v>
                      </c:pt>
                      <c:pt idx="8">
                        <c:v>Anti-Skid Absorbent Insulation Coaster  For Home Office</c:v>
                      </c:pt>
                      <c:pt idx="9">
                        <c:v>380ML USB Rechargeable Portable Small Blenders And Juicers</c:v>
                      </c:pt>
                    </c:strCache>
                  </c:strRef>
                </c:cat>
                <c:val>
                  <c:numRef>
                    <c:extLst xmlns:c15="http://schemas.microsoft.com/office/drawing/2012/chart">
                      <c:ext xmlns:c15="http://schemas.microsoft.com/office/drawing/2012/chart" uri="{02D57815-91ED-43cb-92C2-25804820EDAC}">
                        <c15:formulaRef>
                          <c15:sqref>Top_10_Disc_Rating!$K$2:$K$11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9-3733-4CC5-940E-182E4001BE14}"/>
                  </c:ext>
                </c:extLst>
              </c15:ser>
            </c15:filteredLineSeries>
          </c:ext>
        </c:extLst>
      </c:lineChart>
      <c:catAx>
        <c:axId val="19058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31327"/>
        <c:crosses val="autoZero"/>
        <c:auto val="1"/>
        <c:lblAlgn val="ctr"/>
        <c:lblOffset val="100"/>
        <c:noMultiLvlLbl val="0"/>
      </c:catAx>
      <c:valAx>
        <c:axId val="190583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29407"/>
        <c:crosses val="autoZero"/>
        <c:crossBetween val="between"/>
      </c:valAx>
      <c:valAx>
        <c:axId val="164827388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76767"/>
        <c:crosses val="max"/>
        <c:crossBetween val="between"/>
      </c:valAx>
      <c:catAx>
        <c:axId val="1648276767"/>
        <c:scaling>
          <c:orientation val="minMax"/>
        </c:scaling>
        <c:delete val="1"/>
        <c:axPos val="b"/>
        <c:numFmt formatCode="General" sourceLinked="1"/>
        <c:majorTickMark val="out"/>
        <c:minorTickMark val="none"/>
        <c:tickLblPos val="nextTo"/>
        <c:crossAx val="16482738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5"/>
          <c:order val="5"/>
          <c:tx>
            <c:strRef>
              <c:f>Top_10_Reviews!$G$1</c:f>
              <c:strCache>
                <c:ptCount val="1"/>
                <c:pt idx="0">
                  <c:v>Review</c:v>
                </c:pt>
              </c:strCache>
            </c:strRef>
          </c:tx>
          <c:spPr>
            <a:solidFill>
              <a:schemeClr val="accent1">
                <a:shade val="93000"/>
              </a:schemeClr>
            </a:solidFill>
            <a:ln>
              <a:noFill/>
            </a:ln>
            <a:effectLst/>
          </c:spPr>
          <c:invertIfNegative val="0"/>
          <c:cat>
            <c:strRef>
              <c:f>Top_10_Reviews!$A$2:$A$11</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f>Top_10_Reviews!$G$2:$G$11</c:f>
              <c:numCache>
                <c:formatCode>General</c:formatCode>
                <c:ptCount val="10"/>
                <c:pt idx="0">
                  <c:v>69</c:v>
                </c:pt>
                <c:pt idx="1">
                  <c:v>55</c:v>
                </c:pt>
                <c:pt idx="2">
                  <c:v>49</c:v>
                </c:pt>
                <c:pt idx="3">
                  <c:v>44</c:v>
                </c:pt>
                <c:pt idx="4">
                  <c:v>36</c:v>
                </c:pt>
                <c:pt idx="5">
                  <c:v>32</c:v>
                </c:pt>
                <c:pt idx="6">
                  <c:v>24</c:v>
                </c:pt>
                <c:pt idx="7">
                  <c:v>20</c:v>
                </c:pt>
                <c:pt idx="8">
                  <c:v>20</c:v>
                </c:pt>
                <c:pt idx="9">
                  <c:v>17</c:v>
                </c:pt>
              </c:numCache>
            </c:numRef>
          </c:val>
          <c:extLst>
            <c:ext xmlns:c16="http://schemas.microsoft.com/office/drawing/2014/chart" uri="{C3380CC4-5D6E-409C-BE32-E72D297353CC}">
              <c16:uniqueId val="{00000005-E5FC-4CBE-A5E7-C164BE93C1D6}"/>
            </c:ext>
          </c:extLst>
        </c:ser>
        <c:dLbls>
          <c:showLegendKey val="0"/>
          <c:showVal val="0"/>
          <c:showCatName val="0"/>
          <c:showSerName val="0"/>
          <c:showPercent val="0"/>
          <c:showBubbleSize val="0"/>
        </c:dLbls>
        <c:gapWidth val="219"/>
        <c:axId val="2074326783"/>
        <c:axId val="2074317663"/>
        <c:extLst>
          <c:ext xmlns:c15="http://schemas.microsoft.com/office/drawing/2012/chart" uri="{02D57815-91ED-43cb-92C2-25804820EDAC}">
            <c15:filteredBarSeries>
              <c15:ser>
                <c:idx val="0"/>
                <c:order val="0"/>
                <c:tx>
                  <c:strRef>
                    <c:extLst>
                      <c:ext uri="{02D57815-91ED-43cb-92C2-25804820EDAC}">
                        <c15:formulaRef>
                          <c15:sqref>Top_10_Reviews!$B$1</c15:sqref>
                        </c15:formulaRef>
                      </c:ext>
                    </c:extLst>
                    <c:strCache>
                      <c:ptCount val="1"/>
                      <c:pt idx="0">
                        <c:v>Current price</c:v>
                      </c:pt>
                    </c:strCache>
                  </c:strRef>
                </c:tx>
                <c:spPr>
                  <a:solidFill>
                    <a:schemeClr val="accent1">
                      <a:tint val="43000"/>
                    </a:schemeClr>
                  </a:solidFill>
                  <a:ln>
                    <a:noFill/>
                  </a:ln>
                  <a:effectLst/>
                </c:spPr>
                <c:invertIfNegative val="0"/>
                <c:cat>
                  <c:strRef>
                    <c:extLst>
                      <c:ex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uri="{02D57815-91ED-43cb-92C2-25804820EDAC}">
                        <c15:formulaRef>
                          <c15:sqref>Top_10_Reviews!$B$2:$B$11</c15:sqref>
                        </c15:formulaRef>
                      </c:ext>
                    </c:extLst>
                    <c:numCache>
                      <c:formatCode>_(* #,##0.00_);_(* \(#,##0.00\);_(* "-"??_);_(@_)</c:formatCode>
                      <c:ptCount val="10"/>
                      <c:pt idx="0">
                        <c:v>445</c:v>
                      </c:pt>
                      <c:pt idx="1">
                        <c:v>2319</c:v>
                      </c:pt>
                      <c:pt idx="2">
                        <c:v>420</c:v>
                      </c:pt>
                      <c:pt idx="3">
                        <c:v>998</c:v>
                      </c:pt>
                      <c:pt idx="4">
                        <c:v>389</c:v>
                      </c:pt>
                      <c:pt idx="5">
                        <c:v>1980</c:v>
                      </c:pt>
                      <c:pt idx="6">
                        <c:v>2199</c:v>
                      </c:pt>
                      <c:pt idx="7">
                        <c:v>1758</c:v>
                      </c:pt>
                      <c:pt idx="8">
                        <c:v>1940</c:v>
                      </c:pt>
                      <c:pt idx="9">
                        <c:v>382</c:v>
                      </c:pt>
                    </c:numCache>
                  </c:numRef>
                </c:val>
                <c:extLst>
                  <c:ext xmlns:c16="http://schemas.microsoft.com/office/drawing/2014/chart" uri="{C3380CC4-5D6E-409C-BE32-E72D297353CC}">
                    <c16:uniqueId val="{00000000-E5FC-4CBE-A5E7-C164BE93C1D6}"/>
                  </c:ext>
                </c:extLst>
              </c15:ser>
            </c15:filteredBarSeries>
            <c15:filteredBarSeries>
              <c15:ser>
                <c:idx val="1"/>
                <c:order val="1"/>
                <c:tx>
                  <c:strRef>
                    <c:extLst>
                      <c:ext xmlns:c15="http://schemas.microsoft.com/office/drawing/2012/chart" uri="{02D57815-91ED-43cb-92C2-25804820EDAC}">
                        <c15:formulaRef>
                          <c15:sqref>Top_10_Reviews!$C$1</c15:sqref>
                        </c15:formulaRef>
                      </c:ext>
                    </c:extLst>
                    <c:strCache>
                      <c:ptCount val="1"/>
                      <c:pt idx="0">
                        <c:v> old price </c:v>
                      </c:pt>
                    </c:strCache>
                  </c:strRef>
                </c:tx>
                <c:spPr>
                  <a:solidFill>
                    <a:schemeClr val="accent1">
                      <a:tint val="56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Top_10_Reviews!$C$2:$C$11</c15:sqref>
                        </c15:formulaRef>
                      </c:ext>
                    </c:extLst>
                    <c:numCache>
                      <c:formatCode>_(* #,##0.00_);_(* \(#,##0.00\);_(* "-"??_);_(@_)</c:formatCode>
                      <c:ptCount val="10"/>
                      <c:pt idx="0">
                        <c:v>873</c:v>
                      </c:pt>
                      <c:pt idx="1">
                        <c:v>3032</c:v>
                      </c:pt>
                      <c:pt idx="2">
                        <c:v>647</c:v>
                      </c:pt>
                      <c:pt idx="3">
                        <c:v>1966</c:v>
                      </c:pt>
                      <c:pt idx="4">
                        <c:v>656</c:v>
                      </c:pt>
                      <c:pt idx="5">
                        <c:v>2699</c:v>
                      </c:pt>
                      <c:pt idx="6">
                        <c:v>2923</c:v>
                      </c:pt>
                      <c:pt idx="7">
                        <c:v>2499</c:v>
                      </c:pt>
                      <c:pt idx="8">
                        <c:v>2650</c:v>
                      </c:pt>
                      <c:pt idx="9">
                        <c:v>700</c:v>
                      </c:pt>
                    </c:numCache>
                  </c:numRef>
                </c:val>
                <c:extLst>
                  <c:ext xmlns:c16="http://schemas.microsoft.com/office/drawing/2014/chart" uri="{C3380CC4-5D6E-409C-BE32-E72D297353CC}">
                    <c16:uniqueId val="{00000001-E5FC-4CBE-A5E7-C164BE93C1D6}"/>
                  </c:ext>
                </c:extLst>
              </c15:ser>
            </c15:filteredBarSeries>
            <c15:filteredBarSeries>
              <c15:ser>
                <c:idx val="2"/>
                <c:order val="2"/>
                <c:tx>
                  <c:strRef>
                    <c:extLst>
                      <c:ext xmlns:c15="http://schemas.microsoft.com/office/drawing/2012/chart" uri="{02D57815-91ED-43cb-92C2-25804820EDAC}">
                        <c15:formulaRef>
                          <c15:sqref>Top_10_Reviews!$D$1</c15:sqref>
                        </c15:formulaRef>
                      </c:ext>
                    </c:extLst>
                    <c:strCache>
                      <c:ptCount val="1"/>
                      <c:pt idx="0">
                        <c:v>Discount</c:v>
                      </c:pt>
                    </c:strCache>
                  </c:strRef>
                </c:tx>
                <c:spPr>
                  <a:solidFill>
                    <a:schemeClr val="accent1">
                      <a:tint val="69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Top_10_Reviews!$D$2:$D$11</c15:sqref>
                        </c15:formulaRef>
                      </c:ext>
                    </c:extLst>
                    <c:numCache>
                      <c:formatCode>0%</c:formatCode>
                      <c:ptCount val="10"/>
                      <c:pt idx="0">
                        <c:v>0.49</c:v>
                      </c:pt>
                      <c:pt idx="1">
                        <c:v>0.24</c:v>
                      </c:pt>
                      <c:pt idx="2">
                        <c:v>0.35</c:v>
                      </c:pt>
                      <c:pt idx="3">
                        <c:v>0.49</c:v>
                      </c:pt>
                      <c:pt idx="4">
                        <c:v>0.41</c:v>
                      </c:pt>
                      <c:pt idx="5">
                        <c:v>0.27</c:v>
                      </c:pt>
                      <c:pt idx="6">
                        <c:v>0.25</c:v>
                      </c:pt>
                      <c:pt idx="7">
                        <c:v>0.3</c:v>
                      </c:pt>
                      <c:pt idx="8">
                        <c:v>0.27</c:v>
                      </c:pt>
                      <c:pt idx="9">
                        <c:v>0.45</c:v>
                      </c:pt>
                    </c:numCache>
                  </c:numRef>
                </c:val>
                <c:extLst>
                  <c:ext xmlns:c16="http://schemas.microsoft.com/office/drawing/2014/chart" uri="{C3380CC4-5D6E-409C-BE32-E72D297353CC}">
                    <c16:uniqueId val="{00000002-E5FC-4CBE-A5E7-C164BE93C1D6}"/>
                  </c:ext>
                </c:extLst>
              </c15:ser>
            </c15:filteredBarSeries>
            <c15:filteredBarSeries>
              <c15:ser>
                <c:idx val="3"/>
                <c:order val="3"/>
                <c:tx>
                  <c:strRef>
                    <c:extLst>
                      <c:ext xmlns:c15="http://schemas.microsoft.com/office/drawing/2012/chart" uri="{02D57815-91ED-43cb-92C2-25804820EDAC}">
                        <c15:formulaRef>
                          <c15:sqref>Top_10_Reviews!$E$1</c15:sqref>
                        </c15:formulaRef>
                      </c:ext>
                    </c:extLst>
                    <c:strCache>
                      <c:ptCount val="1"/>
                      <c:pt idx="0">
                        <c:v>Discount </c:v>
                      </c:pt>
                    </c:strCache>
                  </c:strRef>
                </c:tx>
                <c:spPr>
                  <a:solidFill>
                    <a:schemeClr val="accent1">
                      <a:tint val="81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Top_10_Reviews!$E$2:$E$11</c15:sqref>
                        </c15:formulaRef>
                      </c:ext>
                    </c:extLst>
                    <c:numCache>
                      <c:formatCode>0.00</c:formatCode>
                      <c:ptCount val="10"/>
                      <c:pt idx="0">
                        <c:v>0.49</c:v>
                      </c:pt>
                      <c:pt idx="1">
                        <c:v>0.24</c:v>
                      </c:pt>
                      <c:pt idx="2">
                        <c:v>0.35</c:v>
                      </c:pt>
                      <c:pt idx="3">
                        <c:v>0.49</c:v>
                      </c:pt>
                      <c:pt idx="4">
                        <c:v>0.41</c:v>
                      </c:pt>
                      <c:pt idx="5">
                        <c:v>0.27</c:v>
                      </c:pt>
                      <c:pt idx="6">
                        <c:v>0.25</c:v>
                      </c:pt>
                      <c:pt idx="7">
                        <c:v>0.3</c:v>
                      </c:pt>
                      <c:pt idx="8">
                        <c:v>0.27</c:v>
                      </c:pt>
                      <c:pt idx="9">
                        <c:v>0.45</c:v>
                      </c:pt>
                    </c:numCache>
                  </c:numRef>
                </c:val>
                <c:extLst>
                  <c:ext xmlns:c16="http://schemas.microsoft.com/office/drawing/2014/chart" uri="{C3380CC4-5D6E-409C-BE32-E72D297353CC}">
                    <c16:uniqueId val="{00000003-E5FC-4CBE-A5E7-C164BE93C1D6}"/>
                  </c:ext>
                </c:extLst>
              </c15:ser>
            </c15:filteredBarSeries>
            <c15:filteredBarSeries>
              <c15:ser>
                <c:idx val="4"/>
                <c:order val="4"/>
                <c:tx>
                  <c:strRef>
                    <c:extLst>
                      <c:ext xmlns:c15="http://schemas.microsoft.com/office/drawing/2012/chart" uri="{02D57815-91ED-43cb-92C2-25804820EDAC}">
                        <c15:formulaRef>
                          <c15:sqref>Top_10_Reviews!$F$1</c15:sqref>
                        </c15:formulaRef>
                      </c:ext>
                    </c:extLst>
                    <c:strCache>
                      <c:ptCount val="1"/>
                      <c:pt idx="0">
                        <c:v>Review</c:v>
                      </c:pt>
                    </c:strCache>
                  </c:strRef>
                </c:tx>
                <c:spPr>
                  <a:solidFill>
                    <a:schemeClr val="accent1">
                      <a:tint val="94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Top_10_Reviews!$F$2:$F$11</c15:sqref>
                        </c15:formulaRef>
                      </c:ext>
                    </c:extLst>
                    <c:numCache>
                      <c:formatCode>General</c:formatCode>
                      <c:ptCount val="10"/>
                      <c:pt idx="0">
                        <c:v>-69</c:v>
                      </c:pt>
                      <c:pt idx="1">
                        <c:v>-55</c:v>
                      </c:pt>
                      <c:pt idx="2">
                        <c:v>-49</c:v>
                      </c:pt>
                      <c:pt idx="3">
                        <c:v>-44</c:v>
                      </c:pt>
                      <c:pt idx="4">
                        <c:v>-36</c:v>
                      </c:pt>
                      <c:pt idx="5">
                        <c:v>-32</c:v>
                      </c:pt>
                      <c:pt idx="6">
                        <c:v>-24</c:v>
                      </c:pt>
                      <c:pt idx="7">
                        <c:v>-20</c:v>
                      </c:pt>
                      <c:pt idx="8">
                        <c:v>-20</c:v>
                      </c:pt>
                      <c:pt idx="9">
                        <c:v>-17</c:v>
                      </c:pt>
                    </c:numCache>
                  </c:numRef>
                </c:val>
                <c:extLst>
                  <c:ext xmlns:c16="http://schemas.microsoft.com/office/drawing/2014/chart" uri="{C3380CC4-5D6E-409C-BE32-E72D297353CC}">
                    <c16:uniqueId val="{00000004-E5FC-4CBE-A5E7-C164BE93C1D6}"/>
                  </c:ext>
                </c:extLst>
              </c15:ser>
            </c15:filteredBarSeries>
            <c15:filteredBarSeries>
              <c15:ser>
                <c:idx val="7"/>
                <c:order val="7"/>
                <c:tx>
                  <c:strRef>
                    <c:extLst>
                      <c:ext xmlns:c15="http://schemas.microsoft.com/office/drawing/2012/chart" uri="{02D57815-91ED-43cb-92C2-25804820EDAC}">
                        <c15:formulaRef>
                          <c15:sqref>Top_10_Reviews!$I$1</c15:sqref>
                        </c15:formulaRef>
                      </c:ext>
                    </c:extLst>
                    <c:strCache>
                      <c:ptCount val="1"/>
                      <c:pt idx="0">
                        <c:v>absolute discount amount</c:v>
                      </c:pt>
                    </c:strCache>
                  </c:strRef>
                </c:tx>
                <c:spPr>
                  <a:solidFill>
                    <a:schemeClr val="accent1">
                      <a:shade val="68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Top_10_Reviews!$I$2:$I$11</c15:sqref>
                        </c15:formulaRef>
                      </c:ext>
                    </c:extLst>
                    <c:numCache>
                      <c:formatCode>General</c:formatCode>
                      <c:ptCount val="10"/>
                      <c:pt idx="0">
                        <c:v>428</c:v>
                      </c:pt>
                      <c:pt idx="1">
                        <c:v>713</c:v>
                      </c:pt>
                      <c:pt idx="2">
                        <c:v>227</c:v>
                      </c:pt>
                      <c:pt idx="3">
                        <c:v>968</c:v>
                      </c:pt>
                      <c:pt idx="4">
                        <c:v>267</c:v>
                      </c:pt>
                      <c:pt idx="5">
                        <c:v>719</c:v>
                      </c:pt>
                      <c:pt idx="6">
                        <c:v>724</c:v>
                      </c:pt>
                      <c:pt idx="7">
                        <c:v>741</c:v>
                      </c:pt>
                      <c:pt idx="8">
                        <c:v>710</c:v>
                      </c:pt>
                      <c:pt idx="9">
                        <c:v>318</c:v>
                      </c:pt>
                    </c:numCache>
                  </c:numRef>
                </c:val>
                <c:extLst>
                  <c:ext xmlns:c16="http://schemas.microsoft.com/office/drawing/2014/chart" uri="{C3380CC4-5D6E-409C-BE32-E72D297353CC}">
                    <c16:uniqueId val="{00000007-E5FC-4CBE-A5E7-C164BE93C1D6}"/>
                  </c:ext>
                </c:extLst>
              </c15:ser>
            </c15:filteredBarSeries>
            <c15:filteredBarSeries>
              <c15:ser>
                <c:idx val="8"/>
                <c:order val="8"/>
                <c:tx>
                  <c:strRef>
                    <c:extLst>
                      <c:ext xmlns:c15="http://schemas.microsoft.com/office/drawing/2012/chart" uri="{02D57815-91ED-43cb-92C2-25804820EDAC}">
                        <c15:formulaRef>
                          <c15:sqref>Top_10_Reviews!$J$1</c15:sqref>
                        </c15:formulaRef>
                      </c:ext>
                    </c:extLst>
                    <c:strCache>
                      <c:ptCount val="1"/>
                      <c:pt idx="0">
                        <c:v>Product Category</c:v>
                      </c:pt>
                    </c:strCache>
                  </c:strRef>
                </c:tx>
                <c:spPr>
                  <a:solidFill>
                    <a:schemeClr val="accent1">
                      <a:shade val="55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8-E5FC-4CBE-A5E7-C164BE93C1D6}"/>
                  </c:ext>
                </c:extLst>
              </c15:ser>
            </c15:filteredBarSeries>
            <c15:filteredBarSeries>
              <c15:ser>
                <c:idx val="9"/>
                <c:order val="9"/>
                <c:tx>
                  <c:strRef>
                    <c:extLst>
                      <c:ext xmlns:c15="http://schemas.microsoft.com/office/drawing/2012/chart" uri="{02D57815-91ED-43cb-92C2-25804820EDAC}">
                        <c15:formulaRef>
                          <c15:sqref>Top_10_Reviews!$K$1</c15:sqref>
                        </c15:formulaRef>
                      </c:ext>
                    </c:extLst>
                    <c:strCache>
                      <c:ptCount val="1"/>
                      <c:pt idx="0">
                        <c:v>Discount Category</c:v>
                      </c:pt>
                    </c:strCache>
                  </c:strRef>
                </c:tx>
                <c:spPr>
                  <a:solidFill>
                    <a:schemeClr val="accent1">
                      <a:shade val="42000"/>
                    </a:schemeClr>
                  </a:solidFill>
                  <a:ln>
                    <a:noFill/>
                  </a:ln>
                  <a:effectLst/>
                </c:spPr>
                <c:invertIfNegative val="0"/>
                <c:cat>
                  <c:strRef>
                    <c:extLst>
                      <c:ext xmlns:c15="http://schemas.microsoft.com/office/drawing/2012/chart" uri="{02D57815-91ED-43cb-92C2-25804820EDAC}">
                        <c15:formulaRef>
                          <c15:sqref>Top_10_Reviews!$A$2:$A$11</c15:sqref>
                        </c15:formulaRef>
                      </c:ext>
                    </c:extLst>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extLst>
                      <c:ext xmlns:c15="http://schemas.microsoft.com/office/drawing/2012/chart" uri="{02D57815-91ED-43cb-92C2-25804820EDAC}">
                        <c15:formulaRef>
                          <c15:sqref>Top_10_Reviews!$K$2:$K$11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9-E5FC-4CBE-A5E7-C164BE93C1D6}"/>
                  </c:ext>
                </c:extLst>
              </c15:ser>
            </c15:filteredBarSeries>
          </c:ext>
        </c:extLst>
      </c:barChart>
      <c:lineChart>
        <c:grouping val="stacked"/>
        <c:varyColors val="0"/>
        <c:ser>
          <c:idx val="6"/>
          <c:order val="6"/>
          <c:tx>
            <c:strRef>
              <c:f>Top_10_Reviews!$H$1</c:f>
              <c:strCache>
                <c:ptCount val="1"/>
                <c:pt idx="0">
                  <c:v>Ratingd</c:v>
                </c:pt>
              </c:strCache>
            </c:strRef>
          </c:tx>
          <c:spPr>
            <a:ln w="28575" cap="rnd">
              <a:solidFill>
                <a:schemeClr val="accent1">
                  <a:shade val="80000"/>
                </a:schemeClr>
              </a:solidFill>
              <a:round/>
            </a:ln>
            <a:effectLst/>
          </c:spPr>
          <c:marker>
            <c:symbol val="circle"/>
            <c:size val="5"/>
            <c:spPr>
              <a:solidFill>
                <a:schemeClr val="accent1">
                  <a:shade val="80000"/>
                </a:schemeClr>
              </a:solidFill>
              <a:ln w="9525">
                <a:solidFill>
                  <a:schemeClr val="accent1">
                    <a:shade val="80000"/>
                  </a:schemeClr>
                </a:solidFill>
              </a:ln>
              <a:effectLst/>
            </c:spPr>
          </c:marker>
          <c:cat>
            <c:strRef>
              <c:f>Top_10_Reviews!$A$2:$A$11</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Punch-free Great Load Bearing Bathroom Storage Rack Wall Shelf-White</c:v>
                </c:pt>
                <c:pt idx="5">
                  <c:v>53 Pieces/Set Yarn Knitting Crochet Hooks With Bag - Pansies</c:v>
                </c:pt>
                <c:pt idx="6">
                  <c:v>Portable Mini Cordless Car Vacuum Cleaner - Blue</c:v>
                </c:pt>
                <c:pt idx="7">
                  <c:v>52 Pieces Cake Decorating Tool Set Gift Kit Baking Supplies</c:v>
                </c:pt>
                <c:pt idx="8">
                  <c:v>53Pcs/Set Yarn Knitting Crochet Hooks With Bag - Fortune Cat</c:v>
                </c:pt>
                <c:pt idx="9">
                  <c:v>Agapeon Toothbrush Holder And Toothpaste Dispenser</c:v>
                </c:pt>
              </c:strCache>
            </c:strRef>
          </c:cat>
          <c:val>
            <c:numRef>
              <c:f>Top_10_Reviews!$H$2:$H$11</c:f>
              <c:numCache>
                <c:formatCode>General</c:formatCode>
                <c:ptCount val="10"/>
                <c:pt idx="0">
                  <c:v>2.8</c:v>
                </c:pt>
                <c:pt idx="1">
                  <c:v>4.5999999999999996</c:v>
                </c:pt>
                <c:pt idx="2">
                  <c:v>4.5999999999999996</c:v>
                </c:pt>
                <c:pt idx="3">
                  <c:v>4.5999999999999996</c:v>
                </c:pt>
                <c:pt idx="4">
                  <c:v>4.3</c:v>
                </c:pt>
                <c:pt idx="5">
                  <c:v>4.5</c:v>
                </c:pt>
                <c:pt idx="6">
                  <c:v>4.5999999999999996</c:v>
                </c:pt>
                <c:pt idx="7">
                  <c:v>4.0999999999999996</c:v>
                </c:pt>
                <c:pt idx="8">
                  <c:v>4.7</c:v>
                </c:pt>
                <c:pt idx="9">
                  <c:v>2.6</c:v>
                </c:pt>
              </c:numCache>
            </c:numRef>
          </c:val>
          <c:smooth val="0"/>
          <c:extLst>
            <c:ext xmlns:c16="http://schemas.microsoft.com/office/drawing/2014/chart" uri="{C3380CC4-5D6E-409C-BE32-E72D297353CC}">
              <c16:uniqueId val="{00000006-E5FC-4CBE-A5E7-C164BE93C1D6}"/>
            </c:ext>
          </c:extLst>
        </c:ser>
        <c:dLbls>
          <c:showLegendKey val="0"/>
          <c:showVal val="0"/>
          <c:showCatName val="0"/>
          <c:showSerName val="0"/>
          <c:showPercent val="0"/>
          <c:showBubbleSize val="0"/>
        </c:dLbls>
        <c:marker val="1"/>
        <c:smooth val="0"/>
        <c:axId val="400032639"/>
        <c:axId val="400015839"/>
      </c:lineChart>
      <c:catAx>
        <c:axId val="20743267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74317663"/>
        <c:crosses val="autoZero"/>
        <c:auto val="1"/>
        <c:lblAlgn val="ctr"/>
        <c:lblOffset val="100"/>
        <c:noMultiLvlLbl val="0"/>
      </c:catAx>
      <c:valAx>
        <c:axId val="20743176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74326783"/>
        <c:crosses val="autoZero"/>
        <c:crossBetween val="between"/>
      </c:valAx>
      <c:valAx>
        <c:axId val="400015839"/>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00032639"/>
        <c:crosses val="max"/>
        <c:crossBetween val="between"/>
      </c:valAx>
      <c:catAx>
        <c:axId val="400032639"/>
        <c:scaling>
          <c:orientation val="minMax"/>
        </c:scaling>
        <c:delete val="1"/>
        <c:axPos val="b"/>
        <c:numFmt formatCode="General" sourceLinked="1"/>
        <c:majorTickMark val="out"/>
        <c:minorTickMark val="none"/>
        <c:tickLblPos val="nextTo"/>
        <c:crossAx val="40001583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5"/>
          <c:order val="5"/>
          <c:tx>
            <c:strRef>
              <c:f>Bottom_10_Reviews!$G$1</c:f>
              <c:strCache>
                <c:ptCount val="1"/>
                <c:pt idx="0">
                  <c:v>Review</c:v>
                </c:pt>
              </c:strCache>
            </c:strRef>
          </c:tx>
          <c:spPr>
            <a:solidFill>
              <a:schemeClr val="accent5">
                <a:shade val="93000"/>
              </a:schemeClr>
            </a:solidFill>
            <a:ln>
              <a:noFill/>
            </a:ln>
            <a:effectLst/>
          </c:spPr>
          <c:invertIfNegative val="0"/>
          <c:cat>
            <c:strRef>
              <c:f>Bottom_10_Reviews!$A$2:$A$11</c:f>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f>Bottom_10_Reviews!$G$2:$G$11</c:f>
              <c:numCache>
                <c:formatCode>General</c:formatCode>
                <c:ptCount val="10"/>
                <c:pt idx="0">
                  <c:v>1</c:v>
                </c:pt>
                <c:pt idx="1">
                  <c:v>1</c:v>
                </c:pt>
                <c:pt idx="2">
                  <c:v>1</c:v>
                </c:pt>
                <c:pt idx="3">
                  <c:v>1</c:v>
                </c:pt>
                <c:pt idx="4">
                  <c:v>1</c:v>
                </c:pt>
                <c:pt idx="5">
                  <c:v>1</c:v>
                </c:pt>
                <c:pt idx="6">
                  <c:v>2</c:v>
                </c:pt>
                <c:pt idx="7">
                  <c:v>2</c:v>
                </c:pt>
                <c:pt idx="8">
                  <c:v>2</c:v>
                </c:pt>
                <c:pt idx="9">
                  <c:v>2</c:v>
                </c:pt>
              </c:numCache>
            </c:numRef>
          </c:val>
          <c:extLst>
            <c:ext xmlns:c16="http://schemas.microsoft.com/office/drawing/2014/chart" uri="{C3380CC4-5D6E-409C-BE32-E72D297353CC}">
              <c16:uniqueId val="{00000005-222D-4007-BD89-BBAB58AC56DD}"/>
            </c:ext>
          </c:extLst>
        </c:ser>
        <c:dLbls>
          <c:showLegendKey val="0"/>
          <c:showVal val="0"/>
          <c:showCatName val="0"/>
          <c:showSerName val="0"/>
          <c:showPercent val="0"/>
          <c:showBubbleSize val="0"/>
        </c:dLbls>
        <c:gapWidth val="219"/>
        <c:axId val="194766319"/>
        <c:axId val="194771119"/>
        <c:extLst>
          <c:ext xmlns:c15="http://schemas.microsoft.com/office/drawing/2012/chart" uri="{02D57815-91ED-43cb-92C2-25804820EDAC}">
            <c15:filteredBarSeries>
              <c15:ser>
                <c:idx val="0"/>
                <c:order val="0"/>
                <c:tx>
                  <c:strRef>
                    <c:extLst>
                      <c:ext uri="{02D57815-91ED-43cb-92C2-25804820EDAC}">
                        <c15:formulaRef>
                          <c15:sqref>Bottom_10_Reviews!$B$1</c15:sqref>
                        </c15:formulaRef>
                      </c:ext>
                    </c:extLst>
                    <c:strCache>
                      <c:ptCount val="1"/>
                      <c:pt idx="0">
                        <c:v>Current price</c:v>
                      </c:pt>
                    </c:strCache>
                  </c:strRef>
                </c:tx>
                <c:spPr>
                  <a:solidFill>
                    <a:schemeClr val="accent5">
                      <a:tint val="43000"/>
                    </a:schemeClr>
                  </a:solidFill>
                  <a:ln>
                    <a:noFill/>
                  </a:ln>
                  <a:effectLst/>
                </c:spPr>
                <c:invertIfNegative val="0"/>
                <c:cat>
                  <c:strRef>
                    <c:extLst>
                      <c:ex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uri="{02D57815-91ED-43cb-92C2-25804820EDAC}">
                        <c15:formulaRef>
                          <c15:sqref>Bottom_10_Reviews!$B$2:$B$11</c15:sqref>
                        </c15:formulaRef>
                      </c:ext>
                    </c:extLst>
                    <c:numCache>
                      <c:formatCode>_(* #,##0.00_);_(* \(#,##0.00\);_(* "-"??_);_(@_)</c:formatCode>
                      <c:ptCount val="10"/>
                      <c:pt idx="0">
                        <c:v>1620</c:v>
                      </c:pt>
                      <c:pt idx="1">
                        <c:v>979</c:v>
                      </c:pt>
                      <c:pt idx="2">
                        <c:v>3640</c:v>
                      </c:pt>
                      <c:pt idx="3">
                        <c:v>330</c:v>
                      </c:pt>
                      <c:pt idx="4">
                        <c:v>1189</c:v>
                      </c:pt>
                      <c:pt idx="5">
                        <c:v>450</c:v>
                      </c:pt>
                      <c:pt idx="6">
                        <c:v>332</c:v>
                      </c:pt>
                      <c:pt idx="7">
                        <c:v>195</c:v>
                      </c:pt>
                      <c:pt idx="8">
                        <c:v>171</c:v>
                      </c:pt>
                      <c:pt idx="9">
                        <c:v>950</c:v>
                      </c:pt>
                    </c:numCache>
                  </c:numRef>
                </c:val>
                <c:extLst>
                  <c:ext xmlns:c16="http://schemas.microsoft.com/office/drawing/2014/chart" uri="{C3380CC4-5D6E-409C-BE32-E72D297353CC}">
                    <c16:uniqueId val="{00000000-222D-4007-BD89-BBAB58AC56DD}"/>
                  </c:ext>
                </c:extLst>
              </c15:ser>
            </c15:filteredBarSeries>
            <c15:filteredBarSeries>
              <c15:ser>
                <c:idx val="1"/>
                <c:order val="1"/>
                <c:tx>
                  <c:strRef>
                    <c:extLst>
                      <c:ext xmlns:c15="http://schemas.microsoft.com/office/drawing/2012/chart" uri="{02D57815-91ED-43cb-92C2-25804820EDAC}">
                        <c15:formulaRef>
                          <c15:sqref>Bottom_10_Reviews!$C$1</c15:sqref>
                        </c15:formulaRef>
                      </c:ext>
                    </c:extLst>
                    <c:strCache>
                      <c:ptCount val="1"/>
                      <c:pt idx="0">
                        <c:v> old price </c:v>
                      </c:pt>
                    </c:strCache>
                  </c:strRef>
                </c:tx>
                <c:spPr>
                  <a:solidFill>
                    <a:schemeClr val="accent5">
                      <a:tint val="56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Bottom_10_Reviews!$C$2:$C$11</c15:sqref>
                        </c15:formulaRef>
                      </c:ext>
                    </c:extLst>
                    <c:numCache>
                      <c:formatCode>_(* #,##0.00_);_(* \(#,##0.00\);_(* "-"??_);_(@_)</c:formatCode>
                      <c:ptCount val="10"/>
                      <c:pt idx="0">
                        <c:v>2690</c:v>
                      </c:pt>
                      <c:pt idx="1">
                        <c:v>1920</c:v>
                      </c:pt>
                      <c:pt idx="2">
                        <c:v>4588</c:v>
                      </c:pt>
                      <c:pt idx="3">
                        <c:v>647</c:v>
                      </c:pt>
                      <c:pt idx="4">
                        <c:v>2199</c:v>
                      </c:pt>
                      <c:pt idx="5">
                        <c:v>900</c:v>
                      </c:pt>
                      <c:pt idx="6">
                        <c:v>684</c:v>
                      </c:pt>
                      <c:pt idx="7">
                        <c:v>360</c:v>
                      </c:pt>
                      <c:pt idx="8">
                        <c:v>360</c:v>
                      </c:pt>
                      <c:pt idx="9">
                        <c:v>1525</c:v>
                      </c:pt>
                    </c:numCache>
                  </c:numRef>
                </c:val>
                <c:extLst>
                  <c:ext xmlns:c16="http://schemas.microsoft.com/office/drawing/2014/chart" uri="{C3380CC4-5D6E-409C-BE32-E72D297353CC}">
                    <c16:uniqueId val="{00000001-222D-4007-BD89-BBAB58AC56DD}"/>
                  </c:ext>
                </c:extLst>
              </c15:ser>
            </c15:filteredBarSeries>
            <c15:filteredBarSeries>
              <c15:ser>
                <c:idx val="2"/>
                <c:order val="2"/>
                <c:tx>
                  <c:strRef>
                    <c:extLst>
                      <c:ext xmlns:c15="http://schemas.microsoft.com/office/drawing/2012/chart" uri="{02D57815-91ED-43cb-92C2-25804820EDAC}">
                        <c15:formulaRef>
                          <c15:sqref>Bottom_10_Reviews!$D$1</c15:sqref>
                        </c15:formulaRef>
                      </c:ext>
                    </c:extLst>
                    <c:strCache>
                      <c:ptCount val="1"/>
                      <c:pt idx="0">
                        <c:v>Discount</c:v>
                      </c:pt>
                    </c:strCache>
                  </c:strRef>
                </c:tx>
                <c:spPr>
                  <a:solidFill>
                    <a:schemeClr val="accent5">
                      <a:tint val="69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Bottom_10_Reviews!$D$2:$D$11</c15:sqref>
                        </c15:formulaRef>
                      </c:ext>
                    </c:extLst>
                    <c:numCache>
                      <c:formatCode>0%</c:formatCode>
                      <c:ptCount val="10"/>
                      <c:pt idx="0">
                        <c:v>0.4</c:v>
                      </c:pt>
                      <c:pt idx="1">
                        <c:v>0.49</c:v>
                      </c:pt>
                      <c:pt idx="2">
                        <c:v>0.21</c:v>
                      </c:pt>
                      <c:pt idx="3">
                        <c:v>0.49</c:v>
                      </c:pt>
                      <c:pt idx="4">
                        <c:v>0.46</c:v>
                      </c:pt>
                      <c:pt idx="5">
                        <c:v>0.5</c:v>
                      </c:pt>
                      <c:pt idx="6">
                        <c:v>0.51</c:v>
                      </c:pt>
                      <c:pt idx="7">
                        <c:v>0.46</c:v>
                      </c:pt>
                      <c:pt idx="8">
                        <c:v>0.53</c:v>
                      </c:pt>
                      <c:pt idx="9">
                        <c:v>0.38</c:v>
                      </c:pt>
                    </c:numCache>
                  </c:numRef>
                </c:val>
                <c:extLst>
                  <c:ext xmlns:c16="http://schemas.microsoft.com/office/drawing/2014/chart" uri="{C3380CC4-5D6E-409C-BE32-E72D297353CC}">
                    <c16:uniqueId val="{00000002-222D-4007-BD89-BBAB58AC56DD}"/>
                  </c:ext>
                </c:extLst>
              </c15:ser>
            </c15:filteredBarSeries>
            <c15:filteredBarSeries>
              <c15:ser>
                <c:idx val="3"/>
                <c:order val="3"/>
                <c:tx>
                  <c:strRef>
                    <c:extLst>
                      <c:ext xmlns:c15="http://schemas.microsoft.com/office/drawing/2012/chart" uri="{02D57815-91ED-43cb-92C2-25804820EDAC}">
                        <c15:formulaRef>
                          <c15:sqref>Bottom_10_Reviews!$E$1</c15:sqref>
                        </c15:formulaRef>
                      </c:ext>
                    </c:extLst>
                    <c:strCache>
                      <c:ptCount val="1"/>
                      <c:pt idx="0">
                        <c:v>Discount </c:v>
                      </c:pt>
                    </c:strCache>
                  </c:strRef>
                </c:tx>
                <c:spPr>
                  <a:solidFill>
                    <a:schemeClr val="accent5">
                      <a:tint val="81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Bottom_10_Reviews!$E$2:$E$11</c15:sqref>
                        </c15:formulaRef>
                      </c:ext>
                    </c:extLst>
                    <c:numCache>
                      <c:formatCode>0.00</c:formatCode>
                      <c:ptCount val="10"/>
                      <c:pt idx="0">
                        <c:v>0.4</c:v>
                      </c:pt>
                      <c:pt idx="1">
                        <c:v>0.49</c:v>
                      </c:pt>
                      <c:pt idx="2">
                        <c:v>0.21</c:v>
                      </c:pt>
                      <c:pt idx="3">
                        <c:v>0.49</c:v>
                      </c:pt>
                      <c:pt idx="4">
                        <c:v>0.46</c:v>
                      </c:pt>
                      <c:pt idx="5">
                        <c:v>0.5</c:v>
                      </c:pt>
                      <c:pt idx="6">
                        <c:v>0.51</c:v>
                      </c:pt>
                      <c:pt idx="7">
                        <c:v>0.46</c:v>
                      </c:pt>
                      <c:pt idx="8">
                        <c:v>0.53</c:v>
                      </c:pt>
                      <c:pt idx="9">
                        <c:v>0.38</c:v>
                      </c:pt>
                    </c:numCache>
                  </c:numRef>
                </c:val>
                <c:extLst>
                  <c:ext xmlns:c16="http://schemas.microsoft.com/office/drawing/2014/chart" uri="{C3380CC4-5D6E-409C-BE32-E72D297353CC}">
                    <c16:uniqueId val="{00000003-222D-4007-BD89-BBAB58AC56DD}"/>
                  </c:ext>
                </c:extLst>
              </c15:ser>
            </c15:filteredBarSeries>
            <c15:filteredBarSeries>
              <c15:ser>
                <c:idx val="4"/>
                <c:order val="4"/>
                <c:tx>
                  <c:strRef>
                    <c:extLst>
                      <c:ext xmlns:c15="http://schemas.microsoft.com/office/drawing/2012/chart" uri="{02D57815-91ED-43cb-92C2-25804820EDAC}">
                        <c15:formulaRef>
                          <c15:sqref>Bottom_10_Reviews!$F$1</c15:sqref>
                        </c15:formulaRef>
                      </c:ext>
                    </c:extLst>
                    <c:strCache>
                      <c:ptCount val="1"/>
                      <c:pt idx="0">
                        <c:v>Review</c:v>
                      </c:pt>
                    </c:strCache>
                  </c:strRef>
                </c:tx>
                <c:spPr>
                  <a:solidFill>
                    <a:schemeClr val="accent5">
                      <a:tint val="94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Bottom_10_Reviews!$F$2:$F$11</c15:sqref>
                        </c15:formulaRef>
                      </c:ext>
                    </c:extLst>
                    <c:numCache>
                      <c:formatCode>General</c:formatCode>
                      <c:ptCount val="10"/>
                      <c:pt idx="0">
                        <c:v>-1</c:v>
                      </c:pt>
                      <c:pt idx="1">
                        <c:v>-1</c:v>
                      </c:pt>
                      <c:pt idx="2">
                        <c:v>-1</c:v>
                      </c:pt>
                      <c:pt idx="3">
                        <c:v>-1</c:v>
                      </c:pt>
                      <c:pt idx="4">
                        <c:v>-1</c:v>
                      </c:pt>
                      <c:pt idx="5">
                        <c:v>-1</c:v>
                      </c:pt>
                      <c:pt idx="6">
                        <c:v>-2</c:v>
                      </c:pt>
                      <c:pt idx="7">
                        <c:v>-2</c:v>
                      </c:pt>
                      <c:pt idx="8">
                        <c:v>-2</c:v>
                      </c:pt>
                      <c:pt idx="9">
                        <c:v>-2</c:v>
                      </c:pt>
                    </c:numCache>
                  </c:numRef>
                </c:val>
                <c:extLst>
                  <c:ext xmlns:c16="http://schemas.microsoft.com/office/drawing/2014/chart" uri="{C3380CC4-5D6E-409C-BE32-E72D297353CC}">
                    <c16:uniqueId val="{00000004-222D-4007-BD89-BBAB58AC56DD}"/>
                  </c:ext>
                </c:extLst>
              </c15:ser>
            </c15:filteredBarSeries>
            <c15:filteredBarSeries>
              <c15:ser>
                <c:idx val="7"/>
                <c:order val="7"/>
                <c:tx>
                  <c:strRef>
                    <c:extLst>
                      <c:ext xmlns:c15="http://schemas.microsoft.com/office/drawing/2012/chart" uri="{02D57815-91ED-43cb-92C2-25804820EDAC}">
                        <c15:formulaRef>
                          <c15:sqref>Bottom_10_Reviews!$I$1</c15:sqref>
                        </c15:formulaRef>
                      </c:ext>
                    </c:extLst>
                    <c:strCache>
                      <c:ptCount val="1"/>
                      <c:pt idx="0">
                        <c:v>absolute discount amount</c:v>
                      </c:pt>
                    </c:strCache>
                  </c:strRef>
                </c:tx>
                <c:spPr>
                  <a:solidFill>
                    <a:schemeClr val="accent5">
                      <a:shade val="68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Bottom_10_Reviews!$I$2:$I$11</c15:sqref>
                        </c15:formulaRef>
                      </c:ext>
                    </c:extLst>
                    <c:numCache>
                      <c:formatCode>General</c:formatCode>
                      <c:ptCount val="10"/>
                      <c:pt idx="0">
                        <c:v>1070</c:v>
                      </c:pt>
                      <c:pt idx="1">
                        <c:v>941</c:v>
                      </c:pt>
                      <c:pt idx="2">
                        <c:v>948</c:v>
                      </c:pt>
                      <c:pt idx="3">
                        <c:v>317</c:v>
                      </c:pt>
                      <c:pt idx="4">
                        <c:v>1010</c:v>
                      </c:pt>
                      <c:pt idx="5">
                        <c:v>450</c:v>
                      </c:pt>
                      <c:pt idx="6">
                        <c:v>352</c:v>
                      </c:pt>
                      <c:pt idx="7">
                        <c:v>165</c:v>
                      </c:pt>
                      <c:pt idx="8">
                        <c:v>189</c:v>
                      </c:pt>
                      <c:pt idx="9">
                        <c:v>575</c:v>
                      </c:pt>
                    </c:numCache>
                  </c:numRef>
                </c:val>
                <c:extLst>
                  <c:ext xmlns:c16="http://schemas.microsoft.com/office/drawing/2014/chart" uri="{C3380CC4-5D6E-409C-BE32-E72D297353CC}">
                    <c16:uniqueId val="{00000007-222D-4007-BD89-BBAB58AC56DD}"/>
                  </c:ext>
                </c:extLst>
              </c15:ser>
            </c15:filteredBarSeries>
            <c15:filteredBarSeries>
              <c15:ser>
                <c:idx val="8"/>
                <c:order val="8"/>
                <c:tx>
                  <c:strRef>
                    <c:extLst>
                      <c:ext xmlns:c15="http://schemas.microsoft.com/office/drawing/2012/chart" uri="{02D57815-91ED-43cb-92C2-25804820EDAC}">
                        <c15:formulaRef>
                          <c15:sqref>Bottom_10_Reviews!$J$1</c15:sqref>
                        </c15:formulaRef>
                      </c:ext>
                    </c:extLst>
                    <c:strCache>
                      <c:ptCount val="1"/>
                      <c:pt idx="0">
                        <c:v>Product Category</c:v>
                      </c:pt>
                    </c:strCache>
                  </c:strRef>
                </c:tx>
                <c:spPr>
                  <a:solidFill>
                    <a:schemeClr val="accent5">
                      <a:shade val="55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Bottom_10_Reviews!$J$2:$J$11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8-222D-4007-BD89-BBAB58AC56DD}"/>
                  </c:ext>
                </c:extLst>
              </c15:ser>
            </c15:filteredBarSeries>
            <c15:filteredBarSeries>
              <c15:ser>
                <c:idx val="9"/>
                <c:order val="9"/>
                <c:tx>
                  <c:strRef>
                    <c:extLst>
                      <c:ext xmlns:c15="http://schemas.microsoft.com/office/drawing/2012/chart" uri="{02D57815-91ED-43cb-92C2-25804820EDAC}">
                        <c15:formulaRef>
                          <c15:sqref>Bottom_10_Reviews!$K$1</c15:sqref>
                        </c15:formulaRef>
                      </c:ext>
                    </c:extLst>
                    <c:strCache>
                      <c:ptCount val="1"/>
                      <c:pt idx="0">
                        <c:v>Discount Category</c:v>
                      </c:pt>
                    </c:strCache>
                  </c:strRef>
                </c:tx>
                <c:spPr>
                  <a:solidFill>
                    <a:schemeClr val="accent5">
                      <a:shade val="42000"/>
                    </a:schemeClr>
                  </a:solidFill>
                  <a:ln>
                    <a:noFill/>
                  </a:ln>
                  <a:effectLst/>
                </c:spPr>
                <c:invertIfNegative val="0"/>
                <c:cat>
                  <c:strRef>
                    <c:extLst>
                      <c:ext xmlns:c15="http://schemas.microsoft.com/office/drawing/2012/chart" uri="{02D57815-91ED-43cb-92C2-25804820EDAC}">
                        <c15:formulaRef>
                          <c15:sqref>Bottom_10_Reviews!$A$2:$A$11</c15:sqref>
                        </c15:formulaRef>
                      </c:ext>
                    </c:extLst>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extLst>
                      <c:ext xmlns:c15="http://schemas.microsoft.com/office/drawing/2012/chart" uri="{02D57815-91ED-43cb-92C2-25804820EDAC}">
                        <c15:formulaRef>
                          <c15:sqref>Bottom_10_Reviews!$K$2:$K$11</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9-222D-4007-BD89-BBAB58AC56DD}"/>
                  </c:ext>
                </c:extLst>
              </c15:ser>
            </c15:filteredBarSeries>
          </c:ext>
        </c:extLst>
      </c:barChart>
      <c:lineChart>
        <c:grouping val="standard"/>
        <c:varyColors val="0"/>
        <c:ser>
          <c:idx val="6"/>
          <c:order val="6"/>
          <c:tx>
            <c:strRef>
              <c:f>Bottom_10_Reviews!$H$1</c:f>
              <c:strCache>
                <c:ptCount val="1"/>
                <c:pt idx="0">
                  <c:v>Ratingd</c:v>
                </c:pt>
              </c:strCache>
            </c:strRef>
          </c:tx>
          <c:spPr>
            <a:ln w="28575" cap="rnd">
              <a:solidFill>
                <a:schemeClr val="accent5">
                  <a:shade val="80000"/>
                </a:schemeClr>
              </a:solidFill>
              <a:round/>
            </a:ln>
            <a:effectLst/>
          </c:spPr>
          <c:marker>
            <c:symbol val="none"/>
          </c:marker>
          <c:cat>
            <c:strRef>
              <c:f>Bottom_10_Reviews!$A$2:$A$11</c:f>
              <c:strCache>
                <c:ptCount val="10"/>
                <c:pt idx="0">
                  <c:v>DIY File Folder, Office Drawer File Holder, Pen Holder, Desktop Storage Rack</c:v>
                </c:pt>
                <c:pt idx="1">
                  <c:v>Bedroom Simple Floor Hanging Clothes Rack Single Pole Hat Rack - White</c:v>
                </c:pt>
                <c:pt idx="2">
                  <c:v>Konka Healty Electric Kettle, 24-hour Heat Preservation,1.5L,800W, White</c:v>
                </c:pt>
                <c:pt idx="3">
                  <c:v>Household Pineapple Peeler Peeler</c:v>
                </c:pt>
                <c:pt idx="4">
                  <c:v>Memory Foam Neck Pillow Cover, With Pillow Core - 50*30cm</c:v>
                </c:pt>
                <c:pt idx="5">
                  <c:v>Wall-mounted Sticker Punch-free Plug Fixer</c:v>
                </c:pt>
                <c:pt idx="6">
                  <c:v>Anti-Skid Absorbent Insulation Coaster  For Home Office</c:v>
                </c:pt>
                <c:pt idx="7">
                  <c:v>Peacock  Throw Pillow Cushion Case For Home Car</c:v>
                </c:pt>
                <c:pt idx="8">
                  <c:v>Classic Black Cat Cotton Hemp Pillow Case For Home Car</c:v>
                </c:pt>
                <c:pt idx="9">
                  <c:v>115  Piece Set Of Multifunctional Precision Screwdrivers</c:v>
                </c:pt>
              </c:strCache>
            </c:strRef>
          </c:cat>
          <c:val>
            <c:numRef>
              <c:f>Bottom_10_Reviews!$H$2:$H$11</c:f>
              <c:numCache>
                <c:formatCode>General</c:formatCode>
                <c:ptCount val="10"/>
                <c:pt idx="0">
                  <c:v>5</c:v>
                </c:pt>
                <c:pt idx="1">
                  <c:v>5</c:v>
                </c:pt>
                <c:pt idx="2">
                  <c:v>5</c:v>
                </c:pt>
                <c:pt idx="3">
                  <c:v>4</c:v>
                </c:pt>
                <c:pt idx="4">
                  <c:v>3</c:v>
                </c:pt>
                <c:pt idx="5">
                  <c:v>2</c:v>
                </c:pt>
                <c:pt idx="6">
                  <c:v>5</c:v>
                </c:pt>
                <c:pt idx="7">
                  <c:v>5</c:v>
                </c:pt>
                <c:pt idx="8">
                  <c:v>5</c:v>
                </c:pt>
                <c:pt idx="9">
                  <c:v>4.5</c:v>
                </c:pt>
              </c:numCache>
            </c:numRef>
          </c:val>
          <c:smooth val="0"/>
          <c:extLst>
            <c:ext xmlns:c16="http://schemas.microsoft.com/office/drawing/2014/chart" uri="{C3380CC4-5D6E-409C-BE32-E72D297353CC}">
              <c16:uniqueId val="{00000006-222D-4007-BD89-BBAB58AC56DD}"/>
            </c:ext>
          </c:extLst>
        </c:ser>
        <c:dLbls>
          <c:showLegendKey val="0"/>
          <c:showVal val="0"/>
          <c:showCatName val="0"/>
          <c:showSerName val="0"/>
          <c:showPercent val="0"/>
          <c:showBubbleSize val="0"/>
        </c:dLbls>
        <c:marker val="1"/>
        <c:smooth val="0"/>
        <c:axId val="1857421903"/>
        <c:axId val="1857408943"/>
      </c:lineChart>
      <c:catAx>
        <c:axId val="1947663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771119"/>
        <c:crosses val="autoZero"/>
        <c:auto val="1"/>
        <c:lblAlgn val="ctr"/>
        <c:lblOffset val="100"/>
        <c:noMultiLvlLbl val="0"/>
      </c:catAx>
      <c:valAx>
        <c:axId val="1947711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766319"/>
        <c:crosses val="autoZero"/>
        <c:crossBetween val="between"/>
      </c:valAx>
      <c:valAx>
        <c:axId val="1857408943"/>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57421903"/>
        <c:crosses val="max"/>
        <c:crossBetween val="between"/>
      </c:valAx>
      <c:catAx>
        <c:axId val="1857421903"/>
        <c:scaling>
          <c:orientation val="minMax"/>
        </c:scaling>
        <c:delete val="1"/>
        <c:axPos val="b"/>
        <c:numFmt formatCode="General" sourceLinked="1"/>
        <c:majorTickMark val="out"/>
        <c:minorTickMark val="none"/>
        <c:tickLblPos val="nextTo"/>
        <c:crossAx val="185740894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283634</xdr:colOff>
      <xdr:row>16</xdr:row>
      <xdr:rowOff>41276</xdr:rowOff>
    </xdr:from>
    <xdr:to>
      <xdr:col>18</xdr:col>
      <xdr:colOff>58209</xdr:colOff>
      <xdr:row>27</xdr:row>
      <xdr:rowOff>116418</xdr:rowOff>
    </xdr:to>
    <xdr:graphicFrame macro="">
      <xdr:nvGraphicFramePr>
        <xdr:cNvPr id="5" name="Chart 4">
          <a:extLst>
            <a:ext uri="{FF2B5EF4-FFF2-40B4-BE49-F238E27FC236}">
              <a16:creationId xmlns:a16="http://schemas.microsoft.com/office/drawing/2014/main" id="{F6010D99-30DE-41C3-801F-9A2E2DA9E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306917</xdr:colOff>
      <xdr:row>16</xdr:row>
      <xdr:rowOff>44450</xdr:rowOff>
    </xdr:from>
    <xdr:to>
      <xdr:col>10</xdr:col>
      <xdr:colOff>171450</xdr:colOff>
      <xdr:row>27</xdr:row>
      <xdr:rowOff>84667</xdr:rowOff>
    </xdr:to>
    <xdr:graphicFrame macro="">
      <xdr:nvGraphicFramePr>
        <xdr:cNvPr id="6" name="Chart 5">
          <a:extLst>
            <a:ext uri="{FF2B5EF4-FFF2-40B4-BE49-F238E27FC236}">
              <a16:creationId xmlns:a16="http://schemas.microsoft.com/office/drawing/2014/main" id="{18089277-4F2A-4642-BB62-A2A1E004D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240242</xdr:colOff>
      <xdr:row>0</xdr:row>
      <xdr:rowOff>92075</xdr:rowOff>
    </xdr:from>
    <xdr:to>
      <xdr:col>21</xdr:col>
      <xdr:colOff>465667</xdr:colOff>
      <xdr:row>2</xdr:row>
      <xdr:rowOff>130175</xdr:rowOff>
    </xdr:to>
    <xdr:sp macro="" textlink="">
      <xdr:nvSpPr>
        <xdr:cNvPr id="8" name="Rectangle: Rounded Corners 7">
          <a:extLst>
            <a:ext uri="{FF2B5EF4-FFF2-40B4-BE49-F238E27FC236}">
              <a16:creationId xmlns:a16="http://schemas.microsoft.com/office/drawing/2014/main" id="{F58718C6-F516-E9DA-511C-9E3A79608348}"/>
            </a:ext>
          </a:extLst>
        </xdr:cNvPr>
        <xdr:cNvSpPr/>
      </xdr:nvSpPr>
      <xdr:spPr>
        <a:xfrm>
          <a:off x="2695575" y="92075"/>
          <a:ext cx="10660592" cy="397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JUMIA PRODUCT PERFORMANCE</a:t>
          </a:r>
          <a:r>
            <a:rPr lang="en-US" sz="2000" b="1" baseline="0"/>
            <a:t> DASHBOARD</a:t>
          </a:r>
          <a:endParaRPr lang="en-US" sz="2000" b="1"/>
        </a:p>
      </xdr:txBody>
    </xdr:sp>
    <xdr:clientData/>
  </xdr:twoCellAnchor>
  <xdr:twoCellAnchor>
    <xdr:from>
      <xdr:col>0</xdr:col>
      <xdr:colOff>84365</xdr:colOff>
      <xdr:row>2</xdr:row>
      <xdr:rowOff>174776</xdr:rowOff>
    </xdr:from>
    <xdr:to>
      <xdr:col>3</xdr:col>
      <xdr:colOff>584201</xdr:colOff>
      <xdr:row>6</xdr:row>
      <xdr:rowOff>100239</xdr:rowOff>
    </xdr:to>
    <xdr:sp macro="" textlink="">
      <xdr:nvSpPr>
        <xdr:cNvPr id="9" name="Rectangle: Rounded Corners 8">
          <a:extLst>
            <a:ext uri="{FF2B5EF4-FFF2-40B4-BE49-F238E27FC236}">
              <a16:creationId xmlns:a16="http://schemas.microsoft.com/office/drawing/2014/main" id="{95FA478C-6272-5ED6-0837-A6428E5C90BC}"/>
            </a:ext>
          </a:extLst>
        </xdr:cNvPr>
        <xdr:cNvSpPr/>
      </xdr:nvSpPr>
      <xdr:spPr>
        <a:xfrm>
          <a:off x="84365" y="537633"/>
          <a:ext cx="2323193" cy="6511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a:t>
          </a:r>
          <a:r>
            <a:rPr lang="en-US" sz="1400" b="1" baseline="0"/>
            <a:t> Number Of Products</a:t>
          </a:r>
        </a:p>
        <a:p>
          <a:pPr algn="ctr"/>
          <a:r>
            <a:rPr lang="en-US" sz="1400" b="1" baseline="0"/>
            <a:t>56</a:t>
          </a:r>
          <a:endParaRPr lang="en-US" sz="2000" b="1" baseline="0"/>
        </a:p>
      </xdr:txBody>
    </xdr:sp>
    <xdr:clientData/>
  </xdr:twoCellAnchor>
  <xdr:twoCellAnchor>
    <xdr:from>
      <xdr:col>4</xdr:col>
      <xdr:colOff>40217</xdr:colOff>
      <xdr:row>2</xdr:row>
      <xdr:rowOff>177044</xdr:rowOff>
    </xdr:from>
    <xdr:to>
      <xdr:col>7</xdr:col>
      <xdr:colOff>281820</xdr:colOff>
      <xdr:row>6</xdr:row>
      <xdr:rowOff>103565</xdr:rowOff>
    </xdr:to>
    <xdr:sp macro="" textlink="">
      <xdr:nvSpPr>
        <xdr:cNvPr id="10" name="Rectangle: Rounded Corners 9">
          <a:extLst>
            <a:ext uri="{FF2B5EF4-FFF2-40B4-BE49-F238E27FC236}">
              <a16:creationId xmlns:a16="http://schemas.microsoft.com/office/drawing/2014/main" id="{D4564DA3-1699-42C0-8CDB-18A18373B114}"/>
            </a:ext>
          </a:extLst>
        </xdr:cNvPr>
        <xdr:cNvSpPr/>
      </xdr:nvSpPr>
      <xdr:spPr>
        <a:xfrm>
          <a:off x="2471360" y="539901"/>
          <a:ext cx="2064960" cy="65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Average Rating</a:t>
          </a:r>
          <a:r>
            <a:rPr lang="en-US" sz="1100" b="1" i="0" u="none" strike="noStrike">
              <a:solidFill>
                <a:schemeClr val="lt1"/>
              </a:solidFill>
              <a:effectLst/>
              <a:latin typeface="+mn-lt"/>
              <a:ea typeface="+mn-ea"/>
              <a:cs typeface="+mn-cs"/>
            </a:rPr>
            <a:t>          </a:t>
          </a:r>
        </a:p>
        <a:p>
          <a:pPr algn="ctr"/>
          <a:r>
            <a:rPr lang="en-US" sz="1100" b="1" i="0" u="none" strike="noStrike">
              <a:solidFill>
                <a:schemeClr val="lt1"/>
              </a:solidFill>
              <a:effectLst/>
              <a:latin typeface="+mn-lt"/>
              <a:ea typeface="+mn-ea"/>
              <a:cs typeface="+mn-cs"/>
            </a:rPr>
            <a:t>  3.88 	                 </a:t>
          </a:r>
          <a:r>
            <a:rPr lang="en-US" sz="1400" b="1" baseline="0"/>
            <a:t>	</a:t>
          </a:r>
          <a:r>
            <a:rPr lang="en-US" sz="1100" baseline="0"/>
            <a:t>	</a:t>
          </a:r>
          <a:endParaRPr lang="en-US" sz="1100"/>
        </a:p>
      </xdr:txBody>
    </xdr:sp>
    <xdr:clientData/>
  </xdr:twoCellAnchor>
  <xdr:twoCellAnchor>
    <xdr:from>
      <xdr:col>7</xdr:col>
      <xdr:colOff>387049</xdr:colOff>
      <xdr:row>2</xdr:row>
      <xdr:rowOff>178707</xdr:rowOff>
    </xdr:from>
    <xdr:to>
      <xdr:col>12</xdr:col>
      <xdr:colOff>119291</xdr:colOff>
      <xdr:row>6</xdr:row>
      <xdr:rowOff>105228</xdr:rowOff>
    </xdr:to>
    <xdr:sp macro="" textlink="">
      <xdr:nvSpPr>
        <xdr:cNvPr id="11" name="Rectangle: Rounded Corners 10">
          <a:extLst>
            <a:ext uri="{FF2B5EF4-FFF2-40B4-BE49-F238E27FC236}">
              <a16:creationId xmlns:a16="http://schemas.microsoft.com/office/drawing/2014/main" id="{681760CE-9F97-4BFE-8512-26DF6BA41DFE}"/>
            </a:ext>
          </a:extLst>
        </xdr:cNvPr>
        <xdr:cNvSpPr/>
      </xdr:nvSpPr>
      <xdr:spPr>
        <a:xfrm>
          <a:off x="4641549" y="541564"/>
          <a:ext cx="2771171" cy="65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Average</a:t>
          </a:r>
          <a:r>
            <a:rPr lang="en-US" sz="1400" b="1" baseline="0"/>
            <a:t> Discount Percentage</a:t>
          </a:r>
          <a:r>
            <a:rPr lang="en-US" sz="1100" baseline="0"/>
            <a:t>	</a:t>
          </a:r>
          <a:r>
            <a:rPr lang="en-US" sz="1100" b="1" i="0" u="none" strike="noStrike">
              <a:solidFill>
                <a:schemeClr val="lt1"/>
              </a:solidFill>
              <a:effectLst/>
              <a:latin typeface="+mn-lt"/>
              <a:ea typeface="+mn-ea"/>
              <a:cs typeface="+mn-cs"/>
            </a:rPr>
            <a:t>39%</a:t>
          </a:r>
          <a:r>
            <a:rPr lang="en-US">
              <a:effectLst/>
            </a:rPr>
            <a:t> </a:t>
          </a:r>
          <a:endParaRPr lang="en-US" sz="1100"/>
        </a:p>
      </xdr:txBody>
    </xdr:sp>
    <xdr:clientData/>
  </xdr:twoCellAnchor>
  <xdr:twoCellAnchor>
    <xdr:from>
      <xdr:col>12</xdr:col>
      <xdr:colOff>236157</xdr:colOff>
      <xdr:row>2</xdr:row>
      <xdr:rowOff>171451</xdr:rowOff>
    </xdr:from>
    <xdr:to>
      <xdr:col>15</xdr:col>
      <xdr:colOff>37947</xdr:colOff>
      <xdr:row>6</xdr:row>
      <xdr:rowOff>97972</xdr:rowOff>
    </xdr:to>
    <xdr:sp macro="" textlink="">
      <xdr:nvSpPr>
        <xdr:cNvPr id="12" name="Rectangle: Rounded Corners 11">
          <a:extLst>
            <a:ext uri="{FF2B5EF4-FFF2-40B4-BE49-F238E27FC236}">
              <a16:creationId xmlns:a16="http://schemas.microsoft.com/office/drawing/2014/main" id="{D33FA910-41D7-4CC3-9EE0-4D4DDFB30F79}"/>
            </a:ext>
          </a:extLst>
        </xdr:cNvPr>
        <xdr:cNvSpPr/>
      </xdr:nvSpPr>
      <xdr:spPr>
        <a:xfrm>
          <a:off x="7529586" y="534308"/>
          <a:ext cx="1625147" cy="65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400" b="1" baseline="0"/>
            <a:t>Total Reviews</a:t>
          </a:r>
        </a:p>
        <a:p>
          <a:pPr lvl="0" algn="r"/>
          <a:r>
            <a:rPr lang="en-US">
              <a:effectLst/>
            </a:rPr>
            <a:t> </a:t>
          </a:r>
          <a:r>
            <a:rPr lang="en-US" sz="1100" b="0" i="0" u="none" strike="noStrike">
              <a:solidFill>
                <a:schemeClr val="lt1"/>
              </a:solidFill>
              <a:effectLst/>
              <a:latin typeface="+mn-lt"/>
              <a:ea typeface="+mn-ea"/>
              <a:cs typeface="+mn-cs"/>
            </a:rPr>
            <a:t>684</a:t>
          </a:r>
          <a:r>
            <a:rPr lang="en-US">
              <a:effectLst/>
            </a:rPr>
            <a:t> </a:t>
          </a:r>
          <a:r>
            <a:rPr lang="en-US" sz="1100" baseline="0"/>
            <a:t>	</a:t>
          </a:r>
          <a:endParaRPr lang="en-US" sz="1100"/>
        </a:p>
      </xdr:txBody>
    </xdr:sp>
    <xdr:clientData/>
  </xdr:twoCellAnchor>
  <xdr:twoCellAnchor>
    <xdr:from>
      <xdr:col>24</xdr:col>
      <xdr:colOff>361949</xdr:colOff>
      <xdr:row>1</xdr:row>
      <xdr:rowOff>0</xdr:rowOff>
    </xdr:from>
    <xdr:to>
      <xdr:col>29</xdr:col>
      <xdr:colOff>54428</xdr:colOff>
      <xdr:row>42</xdr:row>
      <xdr:rowOff>116417</xdr:rowOff>
    </xdr:to>
    <xdr:sp macro="" textlink="">
      <xdr:nvSpPr>
        <xdr:cNvPr id="14" name="Rectangle: Rounded Corners 13">
          <a:extLst>
            <a:ext uri="{FF2B5EF4-FFF2-40B4-BE49-F238E27FC236}">
              <a16:creationId xmlns:a16="http://schemas.microsoft.com/office/drawing/2014/main" id="{F39261BF-B9D7-2A5B-E7CC-30717AE95F53}"/>
            </a:ext>
          </a:extLst>
        </xdr:cNvPr>
        <xdr:cNvSpPr/>
      </xdr:nvSpPr>
      <xdr:spPr>
        <a:xfrm>
          <a:off x="14948806" y="181429"/>
          <a:ext cx="2731408" cy="7554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Key Insights:</a:t>
          </a:r>
        </a:p>
        <a:p>
          <a:pPr algn="l"/>
          <a:r>
            <a:rPr lang="en-US" sz="1800"/>
            <a:t>1. 62% of products are rated Excellent, but 21% are rated Poor.</a:t>
          </a:r>
        </a:p>
        <a:p>
          <a:pPr algn="l"/>
          <a:r>
            <a:rPr lang="en-US" sz="1800"/>
            <a:t>2. </a:t>
          </a:r>
          <a:r>
            <a:rPr lang="en-KE" sz="1800"/>
            <a:t>Medium-discount products score higher ratings AND get more reviews than high-discount ones. Higher discounts do NOT guarantee better customer satisfaction or engagement.</a:t>
          </a:r>
          <a:endParaRPr lang="en-US" sz="1800"/>
        </a:p>
        <a:p>
          <a:pPr algn="l"/>
          <a:r>
            <a:rPr lang="en-US" sz="1800"/>
            <a:t>3. Poor-rated products actually attract slightly more reviews — likely because unhappy customers are more motivated to leave feedback </a:t>
          </a:r>
        </a:p>
        <a:p>
          <a:pPr algn="l"/>
          <a:endParaRPr lang="en-US" sz="1800"/>
        </a:p>
      </xdr:txBody>
    </xdr:sp>
    <xdr:clientData/>
  </xdr:twoCellAnchor>
  <xdr:twoCellAnchor editAs="oneCell">
    <xdr:from>
      <xdr:col>0</xdr:col>
      <xdr:colOff>158750</xdr:colOff>
      <xdr:row>17</xdr:row>
      <xdr:rowOff>19050</xdr:rowOff>
    </xdr:from>
    <xdr:to>
      <xdr:col>3</xdr:col>
      <xdr:colOff>168275</xdr:colOff>
      <xdr:row>24</xdr:row>
      <xdr:rowOff>0</xdr:rowOff>
    </xdr:to>
    <mc:AlternateContent xmlns:mc="http://schemas.openxmlformats.org/markup-compatibility/2006" xmlns:a14="http://schemas.microsoft.com/office/drawing/2010/main">
      <mc:Choice Requires="a14">
        <xdr:graphicFrame macro="">
          <xdr:nvGraphicFramePr>
            <xdr:cNvPr id="15" name="Discount Category 1">
              <a:extLst>
                <a:ext uri="{FF2B5EF4-FFF2-40B4-BE49-F238E27FC236}">
                  <a16:creationId xmlns:a16="http://schemas.microsoft.com/office/drawing/2014/main" id="{487FA768-4D7B-46F7-A962-D4AC0BD8BD15}"/>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58750" y="3137606"/>
              <a:ext cx="1829858" cy="1265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8</xdr:row>
      <xdr:rowOff>19051</xdr:rowOff>
    </xdr:from>
    <xdr:to>
      <xdr:col>3</xdr:col>
      <xdr:colOff>171450</xdr:colOff>
      <xdr:row>16</xdr:row>
      <xdr:rowOff>95251</xdr:rowOff>
    </xdr:to>
    <mc:AlternateContent xmlns:mc="http://schemas.openxmlformats.org/markup-compatibility/2006" xmlns:a14="http://schemas.microsoft.com/office/drawing/2010/main">
      <mc:Choice Requires="a14">
        <xdr:graphicFrame macro="">
          <xdr:nvGraphicFramePr>
            <xdr:cNvPr id="18" name="Product Category 1">
              <a:extLst>
                <a:ext uri="{FF2B5EF4-FFF2-40B4-BE49-F238E27FC236}">
                  <a16:creationId xmlns:a16="http://schemas.microsoft.com/office/drawing/2014/main" id="{D4016FEA-E739-43C9-A6CB-236EF6B936A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71450" y="1486607"/>
              <a:ext cx="1820333" cy="1543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164041</xdr:colOff>
      <xdr:row>27</xdr:row>
      <xdr:rowOff>144995</xdr:rowOff>
    </xdr:from>
    <xdr:to>
      <xdr:col>10</xdr:col>
      <xdr:colOff>186266</xdr:colOff>
      <xdr:row>42</xdr:row>
      <xdr:rowOff>88900</xdr:rowOff>
    </xdr:to>
    <xdr:graphicFrame macro="">
      <xdr:nvGraphicFramePr>
        <xdr:cNvPr id="19" name="Chart 18">
          <a:extLst>
            <a:ext uri="{FF2B5EF4-FFF2-40B4-BE49-F238E27FC236}">
              <a16:creationId xmlns:a16="http://schemas.microsoft.com/office/drawing/2014/main" id="{F7FDC21F-8F0D-4E08-8C66-45871AB87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152401</xdr:colOff>
      <xdr:row>7</xdr:row>
      <xdr:rowOff>22679</xdr:rowOff>
    </xdr:from>
    <xdr:to>
      <xdr:col>24</xdr:col>
      <xdr:colOff>266701</xdr:colOff>
      <xdr:row>19</xdr:row>
      <xdr:rowOff>41729</xdr:rowOff>
    </xdr:to>
    <xdr:graphicFrame macro="">
      <xdr:nvGraphicFramePr>
        <xdr:cNvPr id="20" name="Chart 19">
          <a:extLst>
            <a:ext uri="{FF2B5EF4-FFF2-40B4-BE49-F238E27FC236}">
              <a16:creationId xmlns:a16="http://schemas.microsoft.com/office/drawing/2014/main" id="{CD4E93BC-A652-4C3E-AEAC-C1DB41748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276225</xdr:colOff>
      <xdr:row>27</xdr:row>
      <xdr:rowOff>152401</xdr:rowOff>
    </xdr:from>
    <xdr:to>
      <xdr:col>18</xdr:col>
      <xdr:colOff>21167</xdr:colOff>
      <xdr:row>43</xdr:row>
      <xdr:rowOff>7409</xdr:rowOff>
    </xdr:to>
    <xdr:graphicFrame macro="">
      <xdr:nvGraphicFramePr>
        <xdr:cNvPr id="21" name="Chart 20">
          <a:extLst>
            <a:ext uri="{FF2B5EF4-FFF2-40B4-BE49-F238E27FC236}">
              <a16:creationId xmlns:a16="http://schemas.microsoft.com/office/drawing/2014/main" id="{F98B0F7A-F3C2-497D-A783-3C32D6DD6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359834</xdr:colOff>
      <xdr:row>7</xdr:row>
      <xdr:rowOff>0</xdr:rowOff>
    </xdr:from>
    <xdr:to>
      <xdr:col>10</xdr:col>
      <xdr:colOff>141111</xdr:colOff>
      <xdr:row>15</xdr:row>
      <xdr:rowOff>155222</xdr:rowOff>
    </xdr:to>
    <xdr:graphicFrame macro="">
      <xdr:nvGraphicFramePr>
        <xdr:cNvPr id="2" name="Chart 1">
          <a:extLst>
            <a:ext uri="{FF2B5EF4-FFF2-40B4-BE49-F238E27FC236}">
              <a16:creationId xmlns:a16="http://schemas.microsoft.com/office/drawing/2014/main" id="{B52D3D1F-9A95-42A8-9A41-D305A1C0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338667</xdr:colOff>
      <xdr:row>7</xdr:row>
      <xdr:rowOff>63500</xdr:rowOff>
    </xdr:from>
    <xdr:to>
      <xdr:col>17</xdr:col>
      <xdr:colOff>508000</xdr:colOff>
      <xdr:row>15</xdr:row>
      <xdr:rowOff>126999</xdr:rowOff>
    </xdr:to>
    <xdr:graphicFrame macro="">
      <xdr:nvGraphicFramePr>
        <xdr:cNvPr id="3" name="Chart 2">
          <a:extLst>
            <a:ext uri="{FF2B5EF4-FFF2-40B4-BE49-F238E27FC236}">
              <a16:creationId xmlns:a16="http://schemas.microsoft.com/office/drawing/2014/main" id="{58C8145C-F36C-4280-A7FA-314E377B0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199571</xdr:colOff>
      <xdr:row>3</xdr:row>
      <xdr:rowOff>18143</xdr:rowOff>
    </xdr:from>
    <xdr:to>
      <xdr:col>18</xdr:col>
      <xdr:colOff>353785</xdr:colOff>
      <xdr:row>6</xdr:row>
      <xdr:rowOff>117929</xdr:rowOff>
    </xdr:to>
    <xdr:sp macro="" textlink="">
      <xdr:nvSpPr>
        <xdr:cNvPr id="4" name="Rectangle: Rounded Corners 3">
          <a:extLst>
            <a:ext uri="{FF2B5EF4-FFF2-40B4-BE49-F238E27FC236}">
              <a16:creationId xmlns:a16="http://schemas.microsoft.com/office/drawing/2014/main" id="{35871F3E-933C-3536-77F9-107C8CEDF197}"/>
            </a:ext>
          </a:extLst>
        </xdr:cNvPr>
        <xdr:cNvSpPr/>
      </xdr:nvSpPr>
      <xdr:spPr>
        <a:xfrm>
          <a:off x="9316357" y="562429"/>
          <a:ext cx="1977571" cy="6440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Most Expensive Product</a:t>
          </a:r>
        </a:p>
        <a:p>
          <a:pPr algn="l"/>
          <a:r>
            <a:rPr lang="en-KE" sz="1200" b="0" i="0" u="none" strike="noStrike">
              <a:solidFill>
                <a:schemeClr val="lt1"/>
              </a:solidFill>
              <a:effectLst/>
              <a:latin typeface="+mn-lt"/>
              <a:ea typeface="+mn-ea"/>
              <a:cs typeface="+mn-cs"/>
            </a:rPr>
            <a:t>             </a:t>
          </a:r>
          <a:r>
            <a:rPr lang="en-US" sz="1200" b="1">
              <a:solidFill>
                <a:schemeClr val="lt1"/>
              </a:solidFill>
              <a:latin typeface="+mn-lt"/>
              <a:ea typeface="+mn-ea"/>
              <a:cs typeface="+mn-cs"/>
            </a:rPr>
            <a:t>3,750</a:t>
          </a:r>
          <a:endParaRPr lang="en-KE" sz="1200" b="1">
            <a:solidFill>
              <a:schemeClr val="lt1"/>
            </a:solidFill>
            <a:latin typeface="+mn-lt"/>
            <a:ea typeface="+mn-ea"/>
            <a:cs typeface="+mn-cs"/>
          </a:endParaRPr>
        </a:p>
      </xdr:txBody>
    </xdr:sp>
    <xdr:clientData/>
  </xdr:twoCellAnchor>
  <xdr:twoCellAnchor>
    <xdr:from>
      <xdr:col>18</xdr:col>
      <xdr:colOff>453570</xdr:colOff>
      <xdr:row>3</xdr:row>
      <xdr:rowOff>-1</xdr:rowOff>
    </xdr:from>
    <xdr:to>
      <xdr:col>21</xdr:col>
      <xdr:colOff>426357</xdr:colOff>
      <xdr:row>6</xdr:row>
      <xdr:rowOff>90714</xdr:rowOff>
    </xdr:to>
    <xdr:sp macro="" textlink="">
      <xdr:nvSpPr>
        <xdr:cNvPr id="7" name="Rectangle: Rounded Corners 6">
          <a:extLst>
            <a:ext uri="{FF2B5EF4-FFF2-40B4-BE49-F238E27FC236}">
              <a16:creationId xmlns:a16="http://schemas.microsoft.com/office/drawing/2014/main" id="{4867F4D0-6AFA-CF24-30C0-DEECC615A96E}"/>
            </a:ext>
          </a:extLst>
        </xdr:cNvPr>
        <xdr:cNvSpPr/>
      </xdr:nvSpPr>
      <xdr:spPr>
        <a:xfrm>
          <a:off x="11393713" y="544285"/>
          <a:ext cx="1796144"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chemeClr val="lt1"/>
              </a:solidFill>
              <a:effectLst/>
              <a:latin typeface="+mn-lt"/>
              <a:ea typeface="+mn-ea"/>
              <a:cs typeface="+mn-cs"/>
            </a:rPr>
            <a:t>Least</a:t>
          </a:r>
          <a:r>
            <a:rPr lang="en-US" sz="1200" b="1" i="0" u="none" strike="noStrike" baseline="0">
              <a:solidFill>
                <a:schemeClr val="lt1"/>
              </a:solidFill>
              <a:effectLst/>
              <a:latin typeface="+mn-lt"/>
              <a:ea typeface="+mn-ea"/>
              <a:cs typeface="+mn-cs"/>
            </a:rPr>
            <a:t> Expensive Product</a:t>
          </a:r>
        </a:p>
        <a:p>
          <a:pPr marL="0" indent="0" algn="ctr"/>
          <a:r>
            <a:rPr lang="en-US" sz="1200" b="1" i="0" u="none" strike="noStrike" baseline="0">
              <a:solidFill>
                <a:schemeClr val="lt1"/>
              </a:solidFill>
              <a:effectLst/>
              <a:latin typeface="+mn-lt"/>
              <a:ea typeface="+mn-ea"/>
              <a:cs typeface="+mn-cs"/>
            </a:rPr>
            <a:t>38</a:t>
          </a:r>
          <a:r>
            <a:rPr lang="en-KE" sz="1100" b="0" i="0" u="none" strike="noStrike">
              <a:solidFill>
                <a:schemeClr val="lt1"/>
              </a:solidFill>
              <a:effectLst/>
              <a:latin typeface="+mn-lt"/>
              <a:ea typeface="+mn-ea"/>
              <a:cs typeface="+mn-cs"/>
            </a:rPr>
            <a:t>                       </a:t>
          </a:r>
          <a:endParaRPr lang="en-KE" sz="1200" b="1">
            <a:solidFill>
              <a:schemeClr val="lt1"/>
            </a:solidFill>
            <a:latin typeface="+mn-lt"/>
            <a:ea typeface="+mn-ea"/>
            <a:cs typeface="+mn-cs"/>
          </a:endParaRPr>
        </a:p>
      </xdr:txBody>
    </xdr:sp>
    <xdr:clientData/>
  </xdr:twoCellAnchor>
  <xdr:twoCellAnchor>
    <xdr:from>
      <xdr:col>21</xdr:col>
      <xdr:colOff>453572</xdr:colOff>
      <xdr:row>2</xdr:row>
      <xdr:rowOff>163286</xdr:rowOff>
    </xdr:from>
    <xdr:to>
      <xdr:col>24</xdr:col>
      <xdr:colOff>317500</xdr:colOff>
      <xdr:row>6</xdr:row>
      <xdr:rowOff>72572</xdr:rowOff>
    </xdr:to>
    <xdr:sp macro="" textlink="">
      <xdr:nvSpPr>
        <xdr:cNvPr id="13" name="Rectangle: Rounded Corners 12">
          <a:extLst>
            <a:ext uri="{FF2B5EF4-FFF2-40B4-BE49-F238E27FC236}">
              <a16:creationId xmlns:a16="http://schemas.microsoft.com/office/drawing/2014/main" id="{64CC433D-7609-43FC-AA8B-8BF095FA0B0F}"/>
            </a:ext>
          </a:extLst>
        </xdr:cNvPr>
        <xdr:cNvSpPr/>
      </xdr:nvSpPr>
      <xdr:spPr>
        <a:xfrm>
          <a:off x="13217072" y="526143"/>
          <a:ext cx="1687285" cy="635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lt1"/>
              </a:solidFill>
              <a:effectLst/>
              <a:latin typeface="+mn-lt"/>
              <a:ea typeface="+mn-ea"/>
              <a:cs typeface="+mn-cs"/>
            </a:rPr>
            <a:t>Average</a:t>
          </a:r>
          <a:r>
            <a:rPr lang="en-US" sz="1200" b="1" i="0" u="none" strike="noStrike" baseline="0">
              <a:solidFill>
                <a:schemeClr val="lt1"/>
              </a:solidFill>
              <a:effectLst/>
              <a:latin typeface="+mn-lt"/>
              <a:ea typeface="+mn-ea"/>
              <a:cs typeface="+mn-cs"/>
            </a:rPr>
            <a:t> Current Price</a:t>
          </a:r>
          <a:r>
            <a:rPr lang="en-KE" sz="1100" b="0" i="0" u="none" strike="noStrike">
              <a:solidFill>
                <a:schemeClr val="lt1"/>
              </a:solidFill>
              <a:effectLst/>
              <a:latin typeface="+mn-lt"/>
              <a:ea typeface="+mn-ea"/>
              <a:cs typeface="+mn-cs"/>
            </a:rPr>
            <a:t>                                        </a:t>
          </a:r>
          <a:r>
            <a:rPr lang="en-KE" sz="1100" b="1" i="0" u="none" strike="noStrike">
              <a:solidFill>
                <a:schemeClr val="lt1"/>
              </a:solidFill>
              <a:effectLst/>
              <a:latin typeface="+mn-lt"/>
              <a:ea typeface="+mn-ea"/>
              <a:cs typeface="+mn-cs"/>
            </a:rPr>
            <a:t>1,308.95</a:t>
          </a:r>
          <a:r>
            <a:rPr lang="en-KE" sz="1100" b="0" i="0" u="none" strike="noStrike">
              <a:solidFill>
                <a:schemeClr val="lt1"/>
              </a:solidFill>
              <a:effectLst/>
              <a:latin typeface="+mn-lt"/>
              <a:ea typeface="+mn-ea"/>
              <a:cs typeface="+mn-cs"/>
            </a:rPr>
            <a:t>       </a:t>
          </a:r>
          <a:endParaRPr lang="en-KE" sz="1200" b="1">
            <a:solidFill>
              <a:schemeClr val="lt1"/>
            </a:solidFill>
            <a:latin typeface="+mn-lt"/>
            <a:ea typeface="+mn-ea"/>
            <a:cs typeface="+mn-cs"/>
          </a:endParaRPr>
        </a:p>
      </xdr:txBody>
    </xdr:sp>
    <xdr:clientData/>
  </xdr:twoCellAnchor>
  <xdr:twoCellAnchor>
    <xdr:from>
      <xdr:col>18</xdr:col>
      <xdr:colOff>154214</xdr:colOff>
      <xdr:row>19</xdr:row>
      <xdr:rowOff>54428</xdr:rowOff>
    </xdr:from>
    <xdr:to>
      <xdr:col>24</xdr:col>
      <xdr:colOff>263071</xdr:colOff>
      <xdr:row>34</xdr:row>
      <xdr:rowOff>76200</xdr:rowOff>
    </xdr:to>
    <xdr:graphicFrame macro="">
      <xdr:nvGraphicFramePr>
        <xdr:cNvPr id="16" name="Chart 15">
          <a:extLst>
            <a:ext uri="{FF2B5EF4-FFF2-40B4-BE49-F238E27FC236}">
              <a16:creationId xmlns:a16="http://schemas.microsoft.com/office/drawing/2014/main" id="{9000A493-3EB2-440B-8755-928145C9F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172357</xdr:colOff>
      <xdr:row>34</xdr:row>
      <xdr:rowOff>90714</xdr:rowOff>
    </xdr:from>
    <xdr:to>
      <xdr:col>24</xdr:col>
      <xdr:colOff>263071</xdr:colOff>
      <xdr:row>45</xdr:row>
      <xdr:rowOff>72570</xdr:rowOff>
    </xdr:to>
    <xdr:graphicFrame macro="">
      <xdr:nvGraphicFramePr>
        <xdr:cNvPr id="17" name="Chart 16">
          <a:extLst>
            <a:ext uri="{FF2B5EF4-FFF2-40B4-BE49-F238E27FC236}">
              <a16:creationId xmlns:a16="http://schemas.microsoft.com/office/drawing/2014/main" id="{DD11430C-E113-48F6-B7F8-1CB07F7D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104775</xdr:colOff>
      <xdr:row>27</xdr:row>
      <xdr:rowOff>104775</xdr:rowOff>
    </xdr:from>
    <xdr:to>
      <xdr:col>2</xdr:col>
      <xdr:colOff>819150</xdr:colOff>
      <xdr:row>35</xdr:row>
      <xdr:rowOff>38100</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4BDF2178-79C4-12F7-3317-0EF1630624C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14375" y="5076825"/>
              <a:ext cx="1825625" cy="1406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100012</xdr:rowOff>
    </xdr:from>
    <xdr:to>
      <xdr:col>4</xdr:col>
      <xdr:colOff>152400</xdr:colOff>
      <xdr:row>24</xdr:row>
      <xdr:rowOff>134937</xdr:rowOff>
    </xdr:to>
    <xdr:graphicFrame macro="">
      <xdr:nvGraphicFramePr>
        <xdr:cNvPr id="3" name="Chart 2">
          <a:extLst>
            <a:ext uri="{FF2B5EF4-FFF2-40B4-BE49-F238E27FC236}">
              <a16:creationId xmlns:a16="http://schemas.microsoft.com/office/drawing/2014/main" id="{EC1BF529-BDCF-B1D3-4995-61529368B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327025</xdr:colOff>
      <xdr:row>7</xdr:row>
      <xdr:rowOff>74612</xdr:rowOff>
    </xdr:from>
    <xdr:to>
      <xdr:col>9</xdr:col>
      <xdr:colOff>98425</xdr:colOff>
      <xdr:row>22</xdr:row>
      <xdr:rowOff>106362</xdr:rowOff>
    </xdr:to>
    <xdr:graphicFrame macro="">
      <xdr:nvGraphicFramePr>
        <xdr:cNvPr id="4" name="Chart 3">
          <a:extLst>
            <a:ext uri="{FF2B5EF4-FFF2-40B4-BE49-F238E27FC236}">
              <a16:creationId xmlns:a16="http://schemas.microsoft.com/office/drawing/2014/main" id="{04498B73-9B79-E76B-7006-305174366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546100</xdr:colOff>
      <xdr:row>25</xdr:row>
      <xdr:rowOff>53975</xdr:rowOff>
    </xdr:from>
    <xdr:to>
      <xdr:col>9</xdr:col>
      <xdr:colOff>438150</xdr:colOff>
      <xdr:row>39</xdr:row>
      <xdr:rowOff>44450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E3990BEA-242C-9DCC-61C6-F2A4A9F8E25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788150" y="4657725"/>
              <a:ext cx="1822450"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158750</xdr:colOff>
      <xdr:row>8</xdr:row>
      <xdr:rowOff>22225</xdr:rowOff>
    </xdr:from>
    <xdr:to>
      <xdr:col>14</xdr:col>
      <xdr:colOff>336550</xdr:colOff>
      <xdr:row>23</xdr:row>
      <xdr:rowOff>3175</xdr:rowOff>
    </xdr:to>
    <xdr:graphicFrame macro="">
      <xdr:nvGraphicFramePr>
        <xdr:cNvPr id="6" name="Chart 5">
          <a:extLst>
            <a:ext uri="{FF2B5EF4-FFF2-40B4-BE49-F238E27FC236}">
              <a16:creationId xmlns:a16="http://schemas.microsoft.com/office/drawing/2014/main" id="{9D8D98A6-7032-2703-D59D-A5F7E759C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3200400</xdr:colOff>
      <xdr:row>9</xdr:row>
      <xdr:rowOff>74612</xdr:rowOff>
    </xdr:from>
    <xdr:to>
      <xdr:col>5</xdr:col>
      <xdr:colOff>361950</xdr:colOff>
      <xdr:row>27</xdr:row>
      <xdr:rowOff>158750</xdr:rowOff>
    </xdr:to>
    <xdr:graphicFrame macro="">
      <xdr:nvGraphicFramePr>
        <xdr:cNvPr id="3" name="Chart 2">
          <a:extLst>
            <a:ext uri="{FF2B5EF4-FFF2-40B4-BE49-F238E27FC236}">
              <a16:creationId xmlns:a16="http://schemas.microsoft.com/office/drawing/2014/main" id="{181DCDED-3909-09E8-BF51-D2B153504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581025</xdr:colOff>
      <xdr:row>11</xdr:row>
      <xdr:rowOff>7937</xdr:rowOff>
    </xdr:from>
    <xdr:to>
      <xdr:col>11</xdr:col>
      <xdr:colOff>400050</xdr:colOff>
      <xdr:row>31</xdr:row>
      <xdr:rowOff>9525</xdr:rowOff>
    </xdr:to>
    <xdr:graphicFrame macro="">
      <xdr:nvGraphicFramePr>
        <xdr:cNvPr id="5" name="Chart 4">
          <a:extLst>
            <a:ext uri="{FF2B5EF4-FFF2-40B4-BE49-F238E27FC236}">
              <a16:creationId xmlns:a16="http://schemas.microsoft.com/office/drawing/2014/main" id="{023A104E-E2D4-7BB4-073F-4A4593DFF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561975</xdr:colOff>
      <xdr:row>1</xdr:row>
      <xdr:rowOff>161925</xdr:rowOff>
    </xdr:from>
    <xdr:to>
      <xdr:col>19</xdr:col>
      <xdr:colOff>257175</xdr:colOff>
      <xdr:row>12</xdr:row>
      <xdr:rowOff>161925</xdr:rowOff>
    </xdr:to>
    <xdr:graphicFrame macro="">
      <xdr:nvGraphicFramePr>
        <xdr:cNvPr id="2" name="Chart 1">
          <a:extLst>
            <a:ext uri="{FF2B5EF4-FFF2-40B4-BE49-F238E27FC236}">
              <a16:creationId xmlns:a16="http://schemas.microsoft.com/office/drawing/2014/main" id="{8F816FC9-C42C-A7DC-AEC1-0E5632822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1149350</xdr:colOff>
      <xdr:row>14</xdr:row>
      <xdr:rowOff>1587</xdr:rowOff>
    </xdr:from>
    <xdr:to>
      <xdr:col>18</xdr:col>
      <xdr:colOff>304800</xdr:colOff>
      <xdr:row>29</xdr:row>
      <xdr:rowOff>36512</xdr:rowOff>
    </xdr:to>
    <xdr:graphicFrame macro="">
      <xdr:nvGraphicFramePr>
        <xdr:cNvPr id="6" name="Chart 5">
          <a:extLst>
            <a:ext uri="{FF2B5EF4-FFF2-40B4-BE49-F238E27FC236}">
              <a16:creationId xmlns:a16="http://schemas.microsoft.com/office/drawing/2014/main" id="{D15E950A-0862-942A-6B6D-388338B8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492125</xdr:colOff>
      <xdr:row>16</xdr:row>
      <xdr:rowOff>134937</xdr:rowOff>
    </xdr:from>
    <xdr:to>
      <xdr:col>9</xdr:col>
      <xdr:colOff>47625</xdr:colOff>
      <xdr:row>31</xdr:row>
      <xdr:rowOff>169862</xdr:rowOff>
    </xdr:to>
    <xdr:graphicFrame macro="">
      <xdr:nvGraphicFramePr>
        <xdr:cNvPr id="7" name="Chart 6">
          <a:extLst>
            <a:ext uri="{FF2B5EF4-FFF2-40B4-BE49-F238E27FC236}">
              <a16:creationId xmlns:a16="http://schemas.microsoft.com/office/drawing/2014/main" id="{CFE02EB0-FA32-D0D3-E232-01AC2B232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3482975</xdr:colOff>
      <xdr:row>11</xdr:row>
      <xdr:rowOff>146050</xdr:rowOff>
    </xdr:from>
    <xdr:to>
      <xdr:col>3</xdr:col>
      <xdr:colOff>485775</xdr:colOff>
      <xdr:row>26</xdr:row>
      <xdr:rowOff>127000</xdr:rowOff>
    </xdr:to>
    <xdr:graphicFrame macro="">
      <xdr:nvGraphicFramePr>
        <xdr:cNvPr id="2" name="Chart 1">
          <a:extLst>
            <a:ext uri="{FF2B5EF4-FFF2-40B4-BE49-F238E27FC236}">
              <a16:creationId xmlns:a16="http://schemas.microsoft.com/office/drawing/2014/main" id="{1E66C935-7646-3567-4924-1E9B22E3E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3736975</xdr:colOff>
      <xdr:row>12</xdr:row>
      <xdr:rowOff>0</xdr:rowOff>
    </xdr:from>
    <xdr:to>
      <xdr:col>3</xdr:col>
      <xdr:colOff>739775</xdr:colOff>
      <xdr:row>26</xdr:row>
      <xdr:rowOff>165100</xdr:rowOff>
    </xdr:to>
    <xdr:graphicFrame macro="">
      <xdr:nvGraphicFramePr>
        <xdr:cNvPr id="2" name="Chart 1">
          <a:extLst>
            <a:ext uri="{FF2B5EF4-FFF2-40B4-BE49-F238E27FC236}">
              <a16:creationId xmlns:a16="http://schemas.microsoft.com/office/drawing/2014/main" id="{3C4FC0BE-2479-D3D3-A753-EA1F367AD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83.897890046297" createdVersion="8" refreshedVersion="8" minRefreshableVersion="3" recordCount="56" xr:uid="{040975E5-0F87-44F9-8778-FFAA64AAEB35}">
  <cacheSource type="worksheet">
    <worksheetSource ref="A1:K57" sheet="Excel_jumia_dataset"/>
  </cacheSource>
  <cacheFields count="11">
    <cacheField name="Product" numFmtId="0">
      <sharedItems count="56">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9" maxValue="0.55000000000000004"/>
    </cacheField>
    <cacheField name="Discount " numFmtId="2">
      <sharedItems containsSemiMixedTypes="0" containsString="0" containsNumber="1" minValue="0.09" maxValue="0.55000000000000004"/>
    </cacheField>
    <cacheField name="Review" numFmtId="0">
      <sharedItems containsSemiMixedTypes="0" containsString="0" containsNumber="1" containsInteger="1" minValue="-69" maxValue="-1"/>
    </cacheField>
    <cacheField name="Review2" numFmtId="0">
      <sharedItems containsSemiMixedTypes="0" containsString="0" containsNumber="1" containsInteger="1" minValue="1" maxValue="69"/>
    </cacheField>
    <cacheField name="Ratingd" numFmtId="0">
      <sharedItems containsSemiMixedTypes="0" containsString="0" containsNumber="1" minValue="2" maxValue="5" count="22">
        <n v="4.5"/>
        <n v="4.0999999999999996"/>
        <n v="4.5999999999999996"/>
        <n v="4.7"/>
        <n v="4.8"/>
        <n v="4"/>
        <n v="3.8"/>
        <n v="4.2"/>
        <n v="5"/>
        <n v="3.3"/>
        <n v="4.4000000000000004"/>
        <n v="4.3"/>
        <n v="2.5"/>
        <n v="3"/>
        <n v="2.1"/>
        <n v="2.8"/>
        <n v="2.7"/>
        <n v="2.9"/>
        <n v="2.2000000000000002"/>
        <n v="2.2999999999999998"/>
        <n v="2.6"/>
        <n v="2"/>
      </sharedItems>
      <fieldGroup base="7">
        <rangePr startNum="2" endNum="5" groupInterval="0.5"/>
        <groupItems count="8">
          <s v="&lt;2"/>
          <s v="2-2.5"/>
          <s v="2.5-3"/>
          <s v="3-3.5"/>
          <s v="3.5-4"/>
          <s v="4-4.5"/>
          <s v="4.5-5"/>
          <s v="&gt;5"/>
        </groupItems>
      </fieldGroup>
    </cacheField>
    <cacheField name="absolute discount amount" numFmtId="0">
      <sharedItems containsSemiMixedTypes="0" containsString="0" containsNumber="1" containsInteger="1" minValue="42" maxValue="2585"/>
    </cacheField>
    <cacheField name="Product Category" numFmtId="0">
      <sharedItems count="3">
        <s v="Excellent"/>
        <s v="Average"/>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46544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n v="950"/>
    <n v="1525"/>
    <n v="0.38"/>
    <n v="0.38"/>
    <n v="-2"/>
    <n v="2"/>
    <x v="0"/>
    <n v="575"/>
    <x v="0"/>
    <x v="0"/>
  </r>
  <r>
    <x v="1"/>
    <n v="527"/>
    <n v="999"/>
    <n v="0.47"/>
    <n v="0.47"/>
    <n v="-14"/>
    <n v="14"/>
    <x v="1"/>
    <n v="472"/>
    <x v="0"/>
    <x v="1"/>
  </r>
  <r>
    <x v="2"/>
    <n v="2199"/>
    <n v="2923"/>
    <n v="0.25"/>
    <n v="0.25"/>
    <n v="-24"/>
    <n v="24"/>
    <x v="2"/>
    <n v="724"/>
    <x v="0"/>
    <x v="0"/>
  </r>
  <r>
    <x v="3"/>
    <n v="1580"/>
    <n v="2499"/>
    <n v="0.37"/>
    <n v="0.37"/>
    <n v="-7"/>
    <n v="7"/>
    <x v="3"/>
    <n v="919"/>
    <x v="0"/>
    <x v="0"/>
  </r>
  <r>
    <x v="4"/>
    <n v="1740"/>
    <n v="2356"/>
    <n v="0.26"/>
    <n v="0.26"/>
    <n v="-5"/>
    <n v="5"/>
    <x v="4"/>
    <n v="616"/>
    <x v="0"/>
    <x v="0"/>
  </r>
  <r>
    <x v="5"/>
    <n v="2999"/>
    <n v="3290"/>
    <n v="0.09"/>
    <n v="0.09"/>
    <n v="-15"/>
    <n v="15"/>
    <x v="5"/>
    <n v="291"/>
    <x v="0"/>
    <x v="2"/>
  </r>
  <r>
    <x v="6"/>
    <n v="2319"/>
    <n v="3032"/>
    <n v="0.24"/>
    <n v="0.24"/>
    <n v="-55"/>
    <n v="55"/>
    <x v="2"/>
    <n v="713"/>
    <x v="0"/>
    <x v="0"/>
  </r>
  <r>
    <x v="7"/>
    <n v="988"/>
    <n v="1580"/>
    <n v="0.37"/>
    <n v="0.37"/>
    <n v="-2"/>
    <n v="2"/>
    <x v="5"/>
    <n v="592"/>
    <x v="0"/>
    <x v="0"/>
  </r>
  <r>
    <x v="8"/>
    <n v="1274"/>
    <n v="2800"/>
    <n v="0.55000000000000004"/>
    <n v="0.55000000000000004"/>
    <n v="-5"/>
    <n v="5"/>
    <x v="4"/>
    <n v="1526"/>
    <x v="0"/>
    <x v="1"/>
  </r>
  <r>
    <x v="9"/>
    <n v="1600"/>
    <n v="2929"/>
    <n v="0.45"/>
    <n v="0.45"/>
    <n v="-5"/>
    <n v="5"/>
    <x v="6"/>
    <n v="1329"/>
    <x v="1"/>
    <x v="1"/>
  </r>
  <r>
    <x v="10"/>
    <n v="799"/>
    <n v="999"/>
    <n v="0.2"/>
    <n v="0.2"/>
    <n v="-12"/>
    <n v="12"/>
    <x v="1"/>
    <n v="200"/>
    <x v="0"/>
    <x v="0"/>
  </r>
  <r>
    <x v="11"/>
    <n v="552"/>
    <n v="1035"/>
    <n v="0.47"/>
    <n v="0.47"/>
    <n v="-12"/>
    <n v="12"/>
    <x v="4"/>
    <n v="483"/>
    <x v="0"/>
    <x v="1"/>
  </r>
  <r>
    <x v="12"/>
    <n v="501"/>
    <n v="860"/>
    <n v="0.42"/>
    <n v="0.42"/>
    <n v="-6"/>
    <n v="6"/>
    <x v="0"/>
    <n v="359"/>
    <x v="0"/>
    <x v="1"/>
  </r>
  <r>
    <x v="13"/>
    <n v="1680"/>
    <n v="2499"/>
    <n v="0.33"/>
    <n v="0.33"/>
    <n v="-9"/>
    <n v="9"/>
    <x v="7"/>
    <n v="819"/>
    <x v="0"/>
    <x v="0"/>
  </r>
  <r>
    <x v="14"/>
    <n v="332"/>
    <n v="684"/>
    <n v="0.51"/>
    <n v="0.51"/>
    <n v="-2"/>
    <n v="2"/>
    <x v="8"/>
    <n v="352"/>
    <x v="0"/>
    <x v="1"/>
  </r>
  <r>
    <x v="15"/>
    <n v="195"/>
    <n v="360"/>
    <n v="0.46"/>
    <n v="0.46"/>
    <n v="-2"/>
    <n v="2"/>
    <x v="8"/>
    <n v="165"/>
    <x v="0"/>
    <x v="1"/>
  </r>
  <r>
    <x v="16"/>
    <n v="2025"/>
    <n v="3971"/>
    <n v="0.49"/>
    <n v="0.49"/>
    <n v="-3"/>
    <n v="3"/>
    <x v="8"/>
    <n v="1946"/>
    <x v="0"/>
    <x v="1"/>
  </r>
  <r>
    <x v="17"/>
    <n v="2999"/>
    <n v="3699"/>
    <n v="0.19"/>
    <n v="0.19"/>
    <n v="-5"/>
    <n v="5"/>
    <x v="2"/>
    <n v="700"/>
    <x v="0"/>
    <x v="2"/>
  </r>
  <r>
    <x v="18"/>
    <n v="998"/>
    <n v="1966"/>
    <n v="0.49"/>
    <n v="0.49"/>
    <n v="-44"/>
    <n v="44"/>
    <x v="2"/>
    <n v="968"/>
    <x v="0"/>
    <x v="1"/>
  </r>
  <r>
    <x v="19"/>
    <n v="38"/>
    <n v="80"/>
    <n v="0.53"/>
    <n v="0.53"/>
    <n v="-13"/>
    <n v="13"/>
    <x v="9"/>
    <n v="42"/>
    <x v="1"/>
    <x v="1"/>
  </r>
  <r>
    <x v="20"/>
    <n v="880"/>
    <n v="1350"/>
    <n v="0.35"/>
    <n v="0.35"/>
    <n v="-6"/>
    <n v="6"/>
    <x v="5"/>
    <n v="470"/>
    <x v="0"/>
    <x v="0"/>
  </r>
  <r>
    <x v="21"/>
    <n v="1650"/>
    <n v="2150"/>
    <n v="0.23"/>
    <n v="0.23"/>
    <n v="-14"/>
    <n v="14"/>
    <x v="10"/>
    <n v="500"/>
    <x v="0"/>
    <x v="0"/>
  </r>
  <r>
    <x v="22"/>
    <n v="2048"/>
    <n v="4500"/>
    <n v="0.54"/>
    <n v="0.54"/>
    <n v="-7"/>
    <n v="7"/>
    <x v="11"/>
    <n v="2452"/>
    <x v="0"/>
    <x v="1"/>
  </r>
  <r>
    <x v="23"/>
    <n v="420"/>
    <n v="647"/>
    <n v="0.35"/>
    <n v="0.35"/>
    <n v="-49"/>
    <n v="49"/>
    <x v="2"/>
    <n v="227"/>
    <x v="0"/>
    <x v="0"/>
  </r>
  <r>
    <x v="24"/>
    <n v="2880"/>
    <n v="3520"/>
    <n v="0.18"/>
    <n v="0.18"/>
    <n v="-12"/>
    <n v="12"/>
    <x v="6"/>
    <n v="640"/>
    <x v="1"/>
    <x v="2"/>
  </r>
  <r>
    <x v="25"/>
    <n v="1350"/>
    <n v="1990"/>
    <n v="0.32"/>
    <n v="0.32"/>
    <n v="-13"/>
    <n v="13"/>
    <x v="6"/>
    <n v="640"/>
    <x v="1"/>
    <x v="0"/>
  </r>
  <r>
    <x v="26"/>
    <n v="1758"/>
    <n v="2499"/>
    <n v="0.3"/>
    <n v="0.3"/>
    <n v="-20"/>
    <n v="20"/>
    <x v="1"/>
    <n v="741"/>
    <x v="0"/>
    <x v="0"/>
  </r>
  <r>
    <x v="27"/>
    <n v="185"/>
    <n v="382"/>
    <n v="0.52"/>
    <n v="0.52"/>
    <n v="-9"/>
    <n v="9"/>
    <x v="11"/>
    <n v="197"/>
    <x v="0"/>
    <x v="1"/>
  </r>
  <r>
    <x v="28"/>
    <n v="980"/>
    <n v="1490"/>
    <n v="0.34"/>
    <n v="0.34"/>
    <n v="-12"/>
    <n v="12"/>
    <x v="3"/>
    <n v="510"/>
    <x v="0"/>
    <x v="0"/>
  </r>
  <r>
    <x v="29"/>
    <n v="1820"/>
    <n v="3490"/>
    <n v="0.48"/>
    <n v="0.48"/>
    <n v="-9"/>
    <n v="9"/>
    <x v="11"/>
    <n v="1670"/>
    <x v="0"/>
    <x v="1"/>
  </r>
  <r>
    <x v="30"/>
    <n v="1940"/>
    <n v="2650"/>
    <n v="0.27"/>
    <n v="0.27"/>
    <n v="-20"/>
    <n v="20"/>
    <x v="3"/>
    <n v="710"/>
    <x v="0"/>
    <x v="0"/>
  </r>
  <r>
    <x v="31"/>
    <n v="1980"/>
    <n v="2699"/>
    <n v="0.27"/>
    <n v="0.27"/>
    <n v="-32"/>
    <n v="32"/>
    <x v="0"/>
    <n v="719"/>
    <x v="0"/>
    <x v="0"/>
  </r>
  <r>
    <x v="32"/>
    <n v="1620"/>
    <n v="2690"/>
    <n v="0.4"/>
    <n v="0.4"/>
    <n v="-1"/>
    <n v="1"/>
    <x v="8"/>
    <n v="1070"/>
    <x v="0"/>
    <x v="1"/>
  </r>
  <r>
    <x v="33"/>
    <n v="171"/>
    <n v="360"/>
    <n v="0.53"/>
    <n v="0.53"/>
    <n v="-2"/>
    <n v="2"/>
    <x v="8"/>
    <n v="189"/>
    <x v="0"/>
    <x v="1"/>
  </r>
  <r>
    <x v="34"/>
    <n v="389"/>
    <n v="656"/>
    <n v="0.41"/>
    <n v="0.41"/>
    <n v="-36"/>
    <n v="36"/>
    <x v="11"/>
    <n v="267"/>
    <x v="0"/>
    <x v="1"/>
  </r>
  <r>
    <x v="35"/>
    <n v="1800"/>
    <n v="2700"/>
    <n v="0.38"/>
    <n v="0.38"/>
    <n v="-2"/>
    <n v="2"/>
    <x v="0"/>
    <n v="900"/>
    <x v="0"/>
    <x v="0"/>
  </r>
  <r>
    <x v="36"/>
    <n v="2170"/>
    <n v="2500"/>
    <n v="0.13"/>
    <n v="0.13"/>
    <n v="-6"/>
    <n v="6"/>
    <x v="12"/>
    <n v="330"/>
    <x v="2"/>
    <x v="2"/>
  </r>
  <r>
    <x v="37"/>
    <n v="458"/>
    <n v="986"/>
    <n v="0.54"/>
    <n v="0.54"/>
    <n v="-10"/>
    <n v="10"/>
    <x v="13"/>
    <n v="528"/>
    <x v="1"/>
    <x v="1"/>
  </r>
  <r>
    <x v="38"/>
    <n v="2115"/>
    <n v="4700"/>
    <n v="0.55000000000000004"/>
    <n v="0.55000000000000004"/>
    <n v="-13"/>
    <n v="13"/>
    <x v="14"/>
    <n v="2585"/>
    <x v="2"/>
    <x v="1"/>
  </r>
  <r>
    <x v="39"/>
    <n v="445"/>
    <n v="873"/>
    <n v="0.49"/>
    <n v="0.49"/>
    <n v="-69"/>
    <n v="69"/>
    <x v="15"/>
    <n v="428"/>
    <x v="2"/>
    <x v="1"/>
  </r>
  <r>
    <x v="40"/>
    <n v="325"/>
    <n v="680"/>
    <n v="0.52"/>
    <n v="0.52"/>
    <n v="-15"/>
    <n v="15"/>
    <x v="16"/>
    <n v="355"/>
    <x v="2"/>
    <x v="1"/>
  </r>
  <r>
    <x v="41"/>
    <n v="1220"/>
    <n v="1555"/>
    <n v="0.22"/>
    <n v="0.22"/>
    <n v="-16"/>
    <n v="16"/>
    <x v="17"/>
    <n v="335"/>
    <x v="2"/>
    <x v="0"/>
  </r>
  <r>
    <x v="42"/>
    <n v="990"/>
    <n v="1814"/>
    <n v="0.45"/>
    <n v="0.45"/>
    <n v="-6"/>
    <n v="6"/>
    <x v="18"/>
    <n v="824"/>
    <x v="2"/>
    <x v="1"/>
  </r>
  <r>
    <x v="43"/>
    <n v="1000"/>
    <n v="2000"/>
    <n v="0.5"/>
    <n v="0.5"/>
    <n v="-7"/>
    <n v="7"/>
    <x v="19"/>
    <n v="1000"/>
    <x v="2"/>
    <x v="1"/>
  </r>
  <r>
    <x v="44"/>
    <n v="3750"/>
    <n v="6143"/>
    <n v="0.39"/>
    <n v="0.39"/>
    <n v="-5"/>
    <n v="5"/>
    <x v="13"/>
    <n v="2393"/>
    <x v="1"/>
    <x v="0"/>
  </r>
  <r>
    <x v="45"/>
    <n v="382"/>
    <n v="700"/>
    <n v="0.45"/>
    <n v="0.45"/>
    <n v="-17"/>
    <n v="17"/>
    <x v="20"/>
    <n v="318"/>
    <x v="2"/>
    <x v="1"/>
  </r>
  <r>
    <x v="46"/>
    <n v="2300"/>
    <n v="3240"/>
    <n v="0.28999999999999998"/>
    <n v="0.28999999999999998"/>
    <n v="-5"/>
    <n v="5"/>
    <x v="13"/>
    <n v="940"/>
    <x v="1"/>
    <x v="0"/>
  </r>
  <r>
    <x v="47"/>
    <n v="345"/>
    <n v="602"/>
    <n v="0.43"/>
    <n v="0.43"/>
    <n v="-6"/>
    <n v="6"/>
    <x v="19"/>
    <n v="257"/>
    <x v="2"/>
    <x v="1"/>
  </r>
  <r>
    <x v="48"/>
    <n v="509"/>
    <n v="899"/>
    <n v="0.43"/>
    <n v="0.43"/>
    <n v="-5"/>
    <n v="5"/>
    <x v="13"/>
    <n v="390"/>
    <x v="1"/>
    <x v="1"/>
  </r>
  <r>
    <x v="49"/>
    <n v="968"/>
    <n v="1814"/>
    <n v="0.47"/>
    <n v="0.47"/>
    <n v="-6"/>
    <n v="6"/>
    <x v="18"/>
    <n v="846"/>
    <x v="2"/>
    <x v="1"/>
  </r>
  <r>
    <x v="50"/>
    <n v="1570"/>
    <n v="2988"/>
    <n v="0.47"/>
    <n v="0.47"/>
    <n v="-7"/>
    <n v="7"/>
    <x v="14"/>
    <n v="1418"/>
    <x v="2"/>
    <x v="1"/>
  </r>
  <r>
    <x v="51"/>
    <n v="1189"/>
    <n v="2199"/>
    <n v="0.46"/>
    <n v="0.46"/>
    <n v="-1"/>
    <n v="1"/>
    <x v="13"/>
    <n v="1010"/>
    <x v="1"/>
    <x v="1"/>
  </r>
  <r>
    <x v="52"/>
    <n v="979"/>
    <n v="1920"/>
    <n v="0.49"/>
    <n v="0.49"/>
    <n v="-1"/>
    <n v="1"/>
    <x v="8"/>
    <n v="941"/>
    <x v="0"/>
    <x v="1"/>
  </r>
  <r>
    <x v="53"/>
    <n v="330"/>
    <n v="647"/>
    <n v="0.49"/>
    <n v="0.49"/>
    <n v="-1"/>
    <n v="1"/>
    <x v="5"/>
    <n v="317"/>
    <x v="0"/>
    <x v="1"/>
  </r>
  <r>
    <x v="54"/>
    <n v="3640"/>
    <n v="4588"/>
    <n v="0.21"/>
    <n v="0.21"/>
    <n v="-1"/>
    <n v="1"/>
    <x v="8"/>
    <n v="948"/>
    <x v="0"/>
    <x v="0"/>
  </r>
  <r>
    <x v="55"/>
    <n v="450"/>
    <n v="900"/>
    <n v="0.5"/>
    <n v="0.5"/>
    <n v="-1"/>
    <n v="1"/>
    <x v="21"/>
    <n v="45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165753-E10C-46ED-923D-366DE8003180}" name="PivotTable1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7" firstHeaderRow="1" firstDataRow="1" firstDataCol="1"/>
  <pivotFields count="11">
    <pivotField dataField="1" showAll="0">
      <items count="57">
        <item x="35"/>
        <item x="0"/>
        <item x="25"/>
        <item x="28"/>
        <item x="39"/>
        <item x="9"/>
        <item x="6"/>
        <item x="5"/>
        <item x="44"/>
        <item x="43"/>
        <item x="18"/>
        <item x="19"/>
        <item x="11"/>
        <item x="36"/>
        <item x="26"/>
        <item x="31"/>
        <item x="30"/>
        <item x="38"/>
        <item x="49"/>
        <item x="45"/>
        <item x="14"/>
        <item x="42"/>
        <item x="52"/>
        <item x="33"/>
        <item x="7"/>
        <item x="32"/>
        <item x="50"/>
        <item x="23"/>
        <item x="27"/>
        <item x="21"/>
        <item x="10"/>
        <item x="53"/>
        <item x="40"/>
        <item x="54"/>
        <item x="46"/>
        <item x="22"/>
        <item x="16"/>
        <item x="12"/>
        <item x="8"/>
        <item x="29"/>
        <item x="20"/>
        <item x="17"/>
        <item x="51"/>
        <item x="1"/>
        <item x="13"/>
        <item x="37"/>
        <item x="15"/>
        <item x="4"/>
        <item x="2"/>
        <item x="24"/>
        <item x="34"/>
        <item x="41"/>
        <item x="55"/>
        <item x="47"/>
        <item x="3"/>
        <item x="48"/>
        <item t="default"/>
      </items>
    </pivotField>
    <pivotField numFmtId="164" showAll="0"/>
    <pivotField numFmtId="164" showAll="0"/>
    <pivotField numFmtId="9" showAll="0"/>
    <pivotField numFmtId="2" showAll="0"/>
    <pivotField showAll="0"/>
    <pivotField showAll="0"/>
    <pivotField showAll="0">
      <items count="9">
        <item x="0"/>
        <item x="1"/>
        <item x="2"/>
        <item x="3"/>
        <item x="4"/>
        <item x="5"/>
        <item x="6"/>
        <item x="7"/>
        <item t="default"/>
      </items>
    </pivotField>
    <pivotField showAll="0"/>
    <pivotField showAll="0">
      <items count="4">
        <item x="1"/>
        <item x="0"/>
        <item x="2"/>
        <item t="default"/>
      </items>
    </pivotField>
    <pivotField axis="axisRow" showAll="0">
      <items count="4">
        <item x="1"/>
        <item x="2"/>
        <item x="0"/>
        <item t="default"/>
      </items>
    </pivotField>
  </pivotFields>
  <rowFields count="1">
    <field x="10"/>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6764A-A37C-42C1-BEA0-A7801F4C8B8A}" name="PivotTable1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I6" firstHeaderRow="1" firstDataRow="1" firstDataCol="1"/>
  <pivotFields count="11">
    <pivotField dataField="1" showAll="0">
      <items count="57">
        <item x="35"/>
        <item x="0"/>
        <item x="25"/>
        <item x="28"/>
        <item x="39"/>
        <item x="9"/>
        <item x="6"/>
        <item x="5"/>
        <item x="44"/>
        <item x="43"/>
        <item x="18"/>
        <item x="19"/>
        <item x="11"/>
        <item x="36"/>
        <item x="26"/>
        <item x="31"/>
        <item x="30"/>
        <item x="38"/>
        <item x="49"/>
        <item x="45"/>
        <item x="14"/>
        <item x="42"/>
        <item x="52"/>
        <item x="33"/>
        <item x="7"/>
        <item x="32"/>
        <item x="50"/>
        <item x="23"/>
        <item x="27"/>
        <item x="21"/>
        <item x="10"/>
        <item x="53"/>
        <item x="40"/>
        <item x="54"/>
        <item x="46"/>
        <item x="22"/>
        <item x="16"/>
        <item x="12"/>
        <item x="8"/>
        <item x="29"/>
        <item x="20"/>
        <item x="17"/>
        <item x="51"/>
        <item x="1"/>
        <item x="13"/>
        <item x="37"/>
        <item x="15"/>
        <item x="4"/>
        <item x="2"/>
        <item x="24"/>
        <item x="34"/>
        <item x="41"/>
        <item x="55"/>
        <item x="47"/>
        <item x="3"/>
        <item x="48"/>
        <item t="default"/>
      </items>
    </pivotField>
    <pivotField numFmtId="164" showAll="0"/>
    <pivotField numFmtId="164" showAll="0"/>
    <pivotField numFmtId="9" showAll="0"/>
    <pivotField numFmtId="2" showAll="0"/>
    <pivotField showAll="0"/>
    <pivotField showAll="0"/>
    <pivotField showAll="0">
      <items count="9">
        <item x="0"/>
        <item x="1"/>
        <item x="2"/>
        <item x="3"/>
        <item x="4"/>
        <item x="5"/>
        <item x="6"/>
        <item x="7"/>
        <item t="default"/>
      </items>
    </pivotField>
    <pivotField showAll="0"/>
    <pivotField axis="axisRow" showAll="0">
      <items count="4">
        <item x="1"/>
        <item x="0"/>
        <item x="2"/>
        <item t="default"/>
      </items>
    </pivotField>
    <pivotField showAll="0"/>
  </pivotFields>
  <rowFields count="1">
    <field x="9"/>
  </rowFields>
  <rowItems count="4">
    <i>
      <x/>
    </i>
    <i>
      <x v="1"/>
    </i>
    <i>
      <x v="2"/>
    </i>
    <i t="grand">
      <x/>
    </i>
  </rowItems>
  <colItems count="1">
    <i/>
  </colItems>
  <dataFields count="1">
    <dataField name="Count of Product" fld="0" subtotal="count" baseField="0"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ACCAD-C07B-4A68-B6A5-CDF0C85133DD}" name="PivotTable1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7" firstHeaderRow="1" firstDataRow="1" firstDataCol="1"/>
  <pivotFields count="11">
    <pivotField showAll="0"/>
    <pivotField numFmtId="164" showAll="0"/>
    <pivotField numFmtId="164" showAll="0"/>
    <pivotField numFmtId="9" showAll="0"/>
    <pivotField numFmtId="2" showAll="0"/>
    <pivotField showAll="0"/>
    <pivotField showAll="0"/>
    <pivotField showAll="0">
      <items count="9">
        <item x="0"/>
        <item x="1"/>
        <item x="2"/>
        <item x="3"/>
        <item x="4"/>
        <item x="5"/>
        <item x="6"/>
        <item x="7"/>
        <item t="default"/>
      </items>
    </pivotField>
    <pivotField dataField="1" showAll="0"/>
    <pivotField showAll="0">
      <items count="4">
        <item x="1"/>
        <item x="0"/>
        <item x="2"/>
        <item t="default"/>
      </items>
    </pivotField>
    <pivotField axis="axisRow" showAll="0">
      <items count="4">
        <item x="1"/>
        <item x="2"/>
        <item x="0"/>
        <item t="default"/>
      </items>
    </pivotField>
  </pivotFields>
  <rowFields count="1">
    <field x="10"/>
  </rowFields>
  <rowItems count="4">
    <i>
      <x/>
    </i>
    <i>
      <x v="1"/>
    </i>
    <i>
      <x v="2"/>
    </i>
    <i t="grand">
      <x/>
    </i>
  </rowItems>
  <colItems count="1">
    <i/>
  </colItems>
  <dataFields count="1">
    <dataField name="Sum of absolute discount amou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AE6351AF-F19D-456E-AE83-EBD9CD482925}" sourceName="Discount Category">
  <pivotTables>
    <pivotTable tabId="8" name="PivotTable110"/>
  </pivotTables>
  <data>
    <tabular pivotCacheId="46544939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68CE8C-ECA2-48E3-B30C-6B9A988AD546}" sourceName="Product Category">
  <pivotTables>
    <pivotTable tabId="8" name="PivotTable111"/>
  </pivotTables>
  <data>
    <tabular pivotCacheId="46544939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DE5409B7-3E99-4F06-9053-853E21CF52AB}" cache="Slicer_Discount_Category" caption="Discount Category" rowHeight="241300"/>
  <slicer name="Product Category 1" xr10:uid="{DC92A8F3-0EE2-446A-84E2-F07201AA2385}"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A24FEDAC-0717-43F6-BE68-32030CB3860B}" cache="Slicer_Discount_Category" caption="Discount Category" rowHeight="241300"/>
  <slicer name="Product Category" xr10:uid="{388B8948-9E02-4146-AC26-00D75218C94E}" cache="Slicer_Product_Category" caption="Product 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B3DC-87BA-42B1-8764-E36A21CE9630}">
  <dimension ref="A1"/>
  <sheetViews>
    <sheetView tabSelected="1" zoomScale="70" zoomScaleNormal="70" workbookViewId="0">
      <selection activeCell="Q45" sqref="Q45"/>
    </sheetView>
  </sheetViews>
  <sheetFormatPr defaultRowHeight="14.5" x14ac:dyDescent="0.35"/>
  <cols>
    <col min="1" max="16384" width="8.7265625" style="11"/>
  </cols>
  <sheetData/>
  <pageMargins left="0.7" right="0.7" top="0.75" bottom="0.75" header="0.3" footer="0.3"/>
  <pageSetup scale="20" orientation="portrait" r:id="rId1"/>
  <colBreaks count="1" manualBreakCount="1">
    <brk id="50" max="82"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B632-D123-494E-9F8F-EDCFEEC4E6F9}">
  <dimension ref="B2:M7"/>
  <sheetViews>
    <sheetView topLeftCell="A13" workbookViewId="0">
      <selection activeCell="I9" sqref="I9"/>
    </sheetView>
  </sheetViews>
  <sheetFormatPr defaultRowHeight="14.5" x14ac:dyDescent="0.35"/>
  <cols>
    <col min="2" max="2" width="15.90625" bestFit="1" customWidth="1"/>
    <col min="3" max="3" width="29.81640625" bestFit="1" customWidth="1"/>
    <col min="8" max="8" width="12.36328125" bestFit="1" customWidth="1"/>
    <col min="9" max="9" width="15.26953125" style="4" bestFit="1" customWidth="1"/>
    <col min="12" max="12" width="15.6328125" bestFit="1" customWidth="1"/>
    <col min="13" max="13" width="15.26953125" bestFit="1" customWidth="1"/>
    <col min="14" max="14" width="14.54296875" bestFit="1" customWidth="1"/>
  </cols>
  <sheetData>
    <row r="2" spans="2:13" x14ac:dyDescent="0.35">
      <c r="H2" s="9" t="s">
        <v>124</v>
      </c>
      <c r="I2" t="s">
        <v>130</v>
      </c>
    </row>
    <row r="3" spans="2:13" x14ac:dyDescent="0.35">
      <c r="B3" s="9" t="s">
        <v>124</v>
      </c>
      <c r="C3" t="s">
        <v>129</v>
      </c>
      <c r="H3" s="10" t="s">
        <v>118</v>
      </c>
      <c r="I3" s="21">
        <v>9</v>
      </c>
      <c r="L3" s="9" t="s">
        <v>124</v>
      </c>
      <c r="M3" t="s">
        <v>130</v>
      </c>
    </row>
    <row r="4" spans="2:13" x14ac:dyDescent="0.35">
      <c r="B4" s="10" t="s">
        <v>126</v>
      </c>
      <c r="C4">
        <v>25154</v>
      </c>
      <c r="H4" s="10" t="s">
        <v>121</v>
      </c>
      <c r="I4" s="21">
        <v>35</v>
      </c>
      <c r="L4" s="10" t="s">
        <v>126</v>
      </c>
      <c r="M4">
        <v>31</v>
      </c>
    </row>
    <row r="5" spans="2:13" x14ac:dyDescent="0.35">
      <c r="B5" s="10" t="s">
        <v>127</v>
      </c>
      <c r="C5">
        <v>1961</v>
      </c>
      <c r="H5" s="10" t="s">
        <v>122</v>
      </c>
      <c r="I5" s="21">
        <v>12</v>
      </c>
      <c r="L5" s="10" t="s">
        <v>127</v>
      </c>
      <c r="M5">
        <v>4</v>
      </c>
    </row>
    <row r="6" spans="2:13" x14ac:dyDescent="0.35">
      <c r="B6" s="10" t="s">
        <v>128</v>
      </c>
      <c r="C6">
        <v>15191</v>
      </c>
      <c r="H6" s="10" t="s">
        <v>125</v>
      </c>
      <c r="I6" s="21">
        <v>56</v>
      </c>
      <c r="L6" s="10" t="s">
        <v>128</v>
      </c>
      <c r="M6">
        <v>21</v>
      </c>
    </row>
    <row r="7" spans="2:13" x14ac:dyDescent="0.35">
      <c r="B7" s="10" t="s">
        <v>125</v>
      </c>
      <c r="C7">
        <v>42306</v>
      </c>
      <c r="L7" s="10" t="s">
        <v>125</v>
      </c>
      <c r="M7">
        <v>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58D0-555F-4A2B-97F0-1C9E393C8B0A}">
  <dimension ref="A1:L67"/>
  <sheetViews>
    <sheetView zoomScale="80" zoomScaleNormal="80" workbookViewId="0">
      <pane xSplit="1" ySplit="1" topLeftCell="D2" activePane="bottomRight" state="frozen"/>
      <selection pane="topRight" activeCell="B1" sqref="B1"/>
      <selection pane="bottomLeft" activeCell="A2" sqref="A2"/>
      <selection pane="bottomRight" sqref="A1:XFD1048576"/>
    </sheetView>
  </sheetViews>
  <sheetFormatPr defaultRowHeight="14.5" x14ac:dyDescent="0.35"/>
  <cols>
    <col min="1" max="1" width="71.26953125" customWidth="1"/>
    <col min="2" max="2" width="18.54296875" bestFit="1" customWidth="1"/>
    <col min="3" max="3" width="18.54296875" style="4" bestFit="1" customWidth="1"/>
    <col min="4" max="5" width="14" customWidth="1"/>
    <col min="6" max="6" width="9.54296875" bestFit="1" customWidth="1"/>
    <col min="7" max="7" width="9.54296875" customWidth="1"/>
    <col min="8" max="8" width="10.26953125" bestFit="1" customWidth="1"/>
    <col min="9" max="9" width="23.26953125" bestFit="1" customWidth="1"/>
    <col min="10" max="10" width="15.54296875" bestFit="1" customWidth="1"/>
    <col min="11" max="11" width="20.81640625" customWidth="1"/>
    <col min="12" max="12" width="13.54296875" customWidth="1"/>
  </cols>
  <sheetData>
    <row r="1" spans="1:12" s="2" customFormat="1" x14ac:dyDescent="0.35">
      <c r="A1" s="2" t="s">
        <v>0</v>
      </c>
      <c r="B1" s="2" t="s">
        <v>1</v>
      </c>
      <c r="C1" s="12" t="s">
        <v>2</v>
      </c>
      <c r="D1" s="2" t="s">
        <v>3</v>
      </c>
      <c r="E1" s="2" t="s">
        <v>123</v>
      </c>
      <c r="F1" s="2" t="s">
        <v>4</v>
      </c>
      <c r="G1" s="2" t="s">
        <v>4</v>
      </c>
      <c r="H1" s="2" t="s">
        <v>5</v>
      </c>
      <c r="I1" s="2" t="s">
        <v>115</v>
      </c>
      <c r="J1" s="2" t="s">
        <v>116</v>
      </c>
      <c r="K1" s="2" t="s">
        <v>117</v>
      </c>
    </row>
    <row r="2" spans="1:12" x14ac:dyDescent="0.35">
      <c r="A2" t="s">
        <v>6</v>
      </c>
      <c r="B2" s="4">
        <v>950</v>
      </c>
      <c r="C2" s="4">
        <v>1525</v>
      </c>
      <c r="D2" s="1">
        <v>0.38</v>
      </c>
      <c r="E2" s="8">
        <v>0.38</v>
      </c>
      <c r="F2">
        <v>-2</v>
      </c>
      <c r="G2">
        <f t="shared" ref="G2:G33" si="0">F2*$L$2</f>
        <v>2</v>
      </c>
      <c r="H2">
        <v>4.5</v>
      </c>
      <c r="I2">
        <f t="shared" ref="I2:I33" si="1">ABS((C2-B2))</f>
        <v>575</v>
      </c>
      <c r="J2" t="str">
        <f t="shared" ref="J2:J33" si="2">IF(H2&lt;3,"Poor",IF(H2&lt;4,"Average","Excellent"))</f>
        <v>Excellent</v>
      </c>
      <c r="K2" t="str">
        <f t="shared" ref="K2:K33" si="3">IF(D2&lt;20%,"Low Discount",IF(D2&lt;40%,"Medium Discount","High Discount"))</f>
        <v>Medium Discount</v>
      </c>
      <c r="L2">
        <v>-1</v>
      </c>
    </row>
    <row r="3" spans="1:12" x14ac:dyDescent="0.35">
      <c r="A3" t="s">
        <v>7</v>
      </c>
      <c r="B3" s="4">
        <v>527</v>
      </c>
      <c r="C3" s="4">
        <v>999</v>
      </c>
      <c r="D3" s="1">
        <v>0.47</v>
      </c>
      <c r="E3" s="8">
        <v>0.47</v>
      </c>
      <c r="F3">
        <v>-14</v>
      </c>
      <c r="G3">
        <f t="shared" si="0"/>
        <v>14</v>
      </c>
      <c r="H3">
        <v>4.0999999999999996</v>
      </c>
      <c r="I3">
        <f t="shared" si="1"/>
        <v>472</v>
      </c>
      <c r="J3" t="str">
        <f t="shared" si="2"/>
        <v>Excellent</v>
      </c>
      <c r="K3" t="str">
        <f t="shared" si="3"/>
        <v>High Discount</v>
      </c>
    </row>
    <row r="4" spans="1:12" x14ac:dyDescent="0.35">
      <c r="A4" t="s">
        <v>8</v>
      </c>
      <c r="B4" s="4">
        <v>2199</v>
      </c>
      <c r="C4" s="4">
        <v>2923</v>
      </c>
      <c r="D4" s="1">
        <v>0.25</v>
      </c>
      <c r="E4" s="8">
        <v>0.25</v>
      </c>
      <c r="F4">
        <v>-24</v>
      </c>
      <c r="G4">
        <f t="shared" si="0"/>
        <v>24</v>
      </c>
      <c r="H4">
        <v>4.5999999999999996</v>
      </c>
      <c r="I4">
        <f t="shared" si="1"/>
        <v>724</v>
      </c>
      <c r="J4" t="str">
        <f t="shared" si="2"/>
        <v>Excellent</v>
      </c>
      <c r="K4" t="str">
        <f t="shared" si="3"/>
        <v>Medium Discount</v>
      </c>
    </row>
    <row r="5" spans="1:12" x14ac:dyDescent="0.35">
      <c r="A5" t="s">
        <v>9</v>
      </c>
      <c r="B5" s="4">
        <v>1580</v>
      </c>
      <c r="C5" s="4">
        <v>2499</v>
      </c>
      <c r="D5" s="1">
        <v>0.37</v>
      </c>
      <c r="E5" s="8">
        <v>0.37</v>
      </c>
      <c r="F5">
        <v>-7</v>
      </c>
      <c r="G5">
        <f t="shared" si="0"/>
        <v>7</v>
      </c>
      <c r="H5">
        <v>4.7</v>
      </c>
      <c r="I5">
        <f t="shared" si="1"/>
        <v>919</v>
      </c>
      <c r="J5" t="str">
        <f t="shared" si="2"/>
        <v>Excellent</v>
      </c>
      <c r="K5" t="str">
        <f t="shared" si="3"/>
        <v>Medium Discount</v>
      </c>
    </row>
    <row r="6" spans="1:12" x14ac:dyDescent="0.35">
      <c r="A6" t="s">
        <v>10</v>
      </c>
      <c r="B6" s="4">
        <v>1740</v>
      </c>
      <c r="C6" s="4">
        <v>2356</v>
      </c>
      <c r="D6" s="1">
        <v>0.26</v>
      </c>
      <c r="E6" s="8">
        <v>0.26</v>
      </c>
      <c r="F6">
        <v>-5</v>
      </c>
      <c r="G6">
        <f t="shared" si="0"/>
        <v>5</v>
      </c>
      <c r="H6">
        <v>4.8</v>
      </c>
      <c r="I6">
        <f t="shared" si="1"/>
        <v>616</v>
      </c>
      <c r="J6" t="str">
        <f t="shared" si="2"/>
        <v>Excellent</v>
      </c>
      <c r="K6" t="str">
        <f t="shared" si="3"/>
        <v>Medium Discount</v>
      </c>
    </row>
    <row r="7" spans="1:12" x14ac:dyDescent="0.35">
      <c r="A7" t="s">
        <v>11</v>
      </c>
      <c r="B7" s="4">
        <v>2999</v>
      </c>
      <c r="C7" s="4">
        <v>3290</v>
      </c>
      <c r="D7" s="1">
        <v>0.09</v>
      </c>
      <c r="E7" s="8">
        <v>0.09</v>
      </c>
      <c r="F7">
        <v>-15</v>
      </c>
      <c r="G7">
        <f t="shared" si="0"/>
        <v>15</v>
      </c>
      <c r="H7">
        <v>4</v>
      </c>
      <c r="I7">
        <f t="shared" si="1"/>
        <v>291</v>
      </c>
      <c r="J7" t="str">
        <f t="shared" si="2"/>
        <v>Excellent</v>
      </c>
      <c r="K7" t="str">
        <f t="shared" si="3"/>
        <v>Low Discount</v>
      </c>
    </row>
    <row r="8" spans="1:12" x14ac:dyDescent="0.35">
      <c r="A8" t="s">
        <v>12</v>
      </c>
      <c r="B8" s="4">
        <v>2319</v>
      </c>
      <c r="C8" s="4">
        <v>3032</v>
      </c>
      <c r="D8" s="1">
        <v>0.24</v>
      </c>
      <c r="E8" s="8">
        <v>0.24</v>
      </c>
      <c r="F8">
        <v>-55</v>
      </c>
      <c r="G8">
        <f t="shared" si="0"/>
        <v>55</v>
      </c>
      <c r="H8">
        <v>4.5999999999999996</v>
      </c>
      <c r="I8">
        <f t="shared" si="1"/>
        <v>713</v>
      </c>
      <c r="J8" t="str">
        <f t="shared" si="2"/>
        <v>Excellent</v>
      </c>
      <c r="K8" t="str">
        <f t="shared" si="3"/>
        <v>Medium Discount</v>
      </c>
    </row>
    <row r="9" spans="1:12" x14ac:dyDescent="0.35">
      <c r="A9" t="s">
        <v>13</v>
      </c>
      <c r="B9" s="4">
        <v>988</v>
      </c>
      <c r="C9" s="4">
        <v>1580</v>
      </c>
      <c r="D9" s="1">
        <v>0.37</v>
      </c>
      <c r="E9" s="8">
        <v>0.37</v>
      </c>
      <c r="F9">
        <v>-2</v>
      </c>
      <c r="G9">
        <f t="shared" si="0"/>
        <v>2</v>
      </c>
      <c r="H9">
        <v>4</v>
      </c>
      <c r="I9">
        <f t="shared" si="1"/>
        <v>592</v>
      </c>
      <c r="J9" t="str">
        <f t="shared" si="2"/>
        <v>Excellent</v>
      </c>
      <c r="K9" t="str">
        <f t="shared" si="3"/>
        <v>Medium Discount</v>
      </c>
    </row>
    <row r="10" spans="1:12" x14ac:dyDescent="0.35">
      <c r="A10" t="s">
        <v>14</v>
      </c>
      <c r="B10" s="4">
        <v>1274</v>
      </c>
      <c r="C10" s="4">
        <v>2800</v>
      </c>
      <c r="D10" s="1">
        <v>0.55000000000000004</v>
      </c>
      <c r="E10" s="8">
        <v>0.55000000000000004</v>
      </c>
      <c r="F10">
        <v>-5</v>
      </c>
      <c r="G10">
        <f t="shared" si="0"/>
        <v>5</v>
      </c>
      <c r="H10">
        <v>4.8</v>
      </c>
      <c r="I10">
        <f t="shared" si="1"/>
        <v>1526</v>
      </c>
      <c r="J10" t="str">
        <f t="shared" si="2"/>
        <v>Excellent</v>
      </c>
      <c r="K10" t="str">
        <f t="shared" si="3"/>
        <v>High Discount</v>
      </c>
    </row>
    <row r="11" spans="1:12" x14ac:dyDescent="0.35">
      <c r="A11" t="s">
        <v>15</v>
      </c>
      <c r="B11" s="4">
        <v>1600</v>
      </c>
      <c r="C11" s="4">
        <v>2929</v>
      </c>
      <c r="D11" s="1">
        <v>0.45</v>
      </c>
      <c r="E11" s="8">
        <v>0.45</v>
      </c>
      <c r="F11">
        <v>-5</v>
      </c>
      <c r="G11">
        <f t="shared" si="0"/>
        <v>5</v>
      </c>
      <c r="H11">
        <v>3.8</v>
      </c>
      <c r="I11">
        <f t="shared" si="1"/>
        <v>1329</v>
      </c>
      <c r="J11" t="str">
        <f t="shared" si="2"/>
        <v>Average</v>
      </c>
      <c r="K11" t="str">
        <f t="shared" si="3"/>
        <v>High Discount</v>
      </c>
    </row>
    <row r="12" spans="1:12" x14ac:dyDescent="0.35">
      <c r="A12" t="s">
        <v>16</v>
      </c>
      <c r="B12" s="4">
        <v>799</v>
      </c>
      <c r="C12" s="4">
        <v>999</v>
      </c>
      <c r="D12" s="1">
        <v>0.2</v>
      </c>
      <c r="E12" s="8">
        <v>0.2</v>
      </c>
      <c r="F12">
        <v>-12</v>
      </c>
      <c r="G12">
        <f t="shared" si="0"/>
        <v>12</v>
      </c>
      <c r="H12">
        <v>4.0999999999999996</v>
      </c>
      <c r="I12">
        <f t="shared" si="1"/>
        <v>200</v>
      </c>
      <c r="J12" t="str">
        <f t="shared" si="2"/>
        <v>Excellent</v>
      </c>
      <c r="K12" t="str">
        <f t="shared" si="3"/>
        <v>Medium Discount</v>
      </c>
    </row>
    <row r="13" spans="1:12" x14ac:dyDescent="0.35">
      <c r="A13" t="s">
        <v>18</v>
      </c>
      <c r="B13" s="4">
        <v>552</v>
      </c>
      <c r="C13" s="4">
        <v>1035</v>
      </c>
      <c r="D13" s="1">
        <v>0.47</v>
      </c>
      <c r="E13" s="8">
        <v>0.47</v>
      </c>
      <c r="F13">
        <v>-12</v>
      </c>
      <c r="G13">
        <f t="shared" si="0"/>
        <v>12</v>
      </c>
      <c r="H13">
        <v>4.8</v>
      </c>
      <c r="I13">
        <f t="shared" si="1"/>
        <v>483</v>
      </c>
      <c r="J13" t="str">
        <f t="shared" si="2"/>
        <v>Excellent</v>
      </c>
      <c r="K13" t="str">
        <f t="shared" si="3"/>
        <v>High Discount</v>
      </c>
    </row>
    <row r="14" spans="1:12" x14ac:dyDescent="0.35">
      <c r="A14" t="s">
        <v>19</v>
      </c>
      <c r="B14" s="4">
        <v>501</v>
      </c>
      <c r="C14" s="4">
        <v>860</v>
      </c>
      <c r="D14" s="1">
        <v>0.42</v>
      </c>
      <c r="E14" s="8">
        <v>0.42</v>
      </c>
      <c r="F14">
        <v>-6</v>
      </c>
      <c r="G14">
        <f t="shared" si="0"/>
        <v>6</v>
      </c>
      <c r="H14">
        <v>4.5</v>
      </c>
      <c r="I14">
        <f t="shared" si="1"/>
        <v>359</v>
      </c>
      <c r="J14" t="str">
        <f t="shared" si="2"/>
        <v>Excellent</v>
      </c>
      <c r="K14" t="str">
        <f t="shared" si="3"/>
        <v>High Discount</v>
      </c>
    </row>
    <row r="15" spans="1:12" x14ac:dyDescent="0.35">
      <c r="A15" t="s">
        <v>20</v>
      </c>
      <c r="B15" s="4">
        <v>1680</v>
      </c>
      <c r="C15" s="4">
        <v>2499</v>
      </c>
      <c r="D15" s="1">
        <v>0.33</v>
      </c>
      <c r="E15" s="8">
        <v>0.33</v>
      </c>
      <c r="F15">
        <v>-9</v>
      </c>
      <c r="G15">
        <f t="shared" si="0"/>
        <v>9</v>
      </c>
      <c r="H15">
        <v>4.2</v>
      </c>
      <c r="I15">
        <f t="shared" si="1"/>
        <v>819</v>
      </c>
      <c r="J15" t="str">
        <f t="shared" si="2"/>
        <v>Excellent</v>
      </c>
      <c r="K15" t="str">
        <f t="shared" si="3"/>
        <v>Medium Discount</v>
      </c>
    </row>
    <row r="16" spans="1:12" x14ac:dyDescent="0.35">
      <c r="A16" t="s">
        <v>21</v>
      </c>
      <c r="B16" s="4">
        <v>332</v>
      </c>
      <c r="C16" s="4">
        <v>684</v>
      </c>
      <c r="D16" s="1">
        <v>0.51</v>
      </c>
      <c r="E16" s="8">
        <v>0.51</v>
      </c>
      <c r="F16">
        <v>-2</v>
      </c>
      <c r="G16">
        <f t="shared" si="0"/>
        <v>2</v>
      </c>
      <c r="H16">
        <v>5</v>
      </c>
      <c r="I16">
        <f t="shared" si="1"/>
        <v>352</v>
      </c>
      <c r="J16" t="str">
        <f t="shared" si="2"/>
        <v>Excellent</v>
      </c>
      <c r="K16" t="str">
        <f t="shared" si="3"/>
        <v>High Discount</v>
      </c>
    </row>
    <row r="17" spans="1:11" x14ac:dyDescent="0.35">
      <c r="A17" t="s">
        <v>22</v>
      </c>
      <c r="B17" s="4">
        <v>195</v>
      </c>
      <c r="C17" s="4">
        <v>360</v>
      </c>
      <c r="D17" s="1">
        <v>0.46</v>
      </c>
      <c r="E17" s="8">
        <v>0.46</v>
      </c>
      <c r="F17">
        <v>-2</v>
      </c>
      <c r="G17">
        <f t="shared" si="0"/>
        <v>2</v>
      </c>
      <c r="H17">
        <v>5</v>
      </c>
      <c r="I17">
        <f t="shared" si="1"/>
        <v>165</v>
      </c>
      <c r="J17" t="str">
        <f t="shared" si="2"/>
        <v>Excellent</v>
      </c>
      <c r="K17" t="str">
        <f t="shared" si="3"/>
        <v>High Discount</v>
      </c>
    </row>
    <row r="18" spans="1:11" x14ac:dyDescent="0.35">
      <c r="A18" t="s">
        <v>23</v>
      </c>
      <c r="B18" s="4">
        <v>2025</v>
      </c>
      <c r="C18" s="4">
        <v>3971</v>
      </c>
      <c r="D18" s="1">
        <v>0.49</v>
      </c>
      <c r="E18" s="8">
        <v>0.49</v>
      </c>
      <c r="F18">
        <v>-3</v>
      </c>
      <c r="G18">
        <f t="shared" si="0"/>
        <v>3</v>
      </c>
      <c r="H18">
        <v>5</v>
      </c>
      <c r="I18">
        <f t="shared" si="1"/>
        <v>1946</v>
      </c>
      <c r="J18" t="str">
        <f t="shared" si="2"/>
        <v>Excellent</v>
      </c>
      <c r="K18" t="str">
        <f t="shared" si="3"/>
        <v>High Discount</v>
      </c>
    </row>
    <row r="19" spans="1:11" x14ac:dyDescent="0.35">
      <c r="A19" t="s">
        <v>24</v>
      </c>
      <c r="B19" s="4">
        <v>2999</v>
      </c>
      <c r="C19" s="4">
        <v>3699</v>
      </c>
      <c r="D19" s="1">
        <v>0.19</v>
      </c>
      <c r="E19" s="8">
        <v>0.19</v>
      </c>
      <c r="F19">
        <v>-5</v>
      </c>
      <c r="G19">
        <f t="shared" si="0"/>
        <v>5</v>
      </c>
      <c r="H19">
        <v>4.5999999999999996</v>
      </c>
      <c r="I19">
        <f t="shared" si="1"/>
        <v>700</v>
      </c>
      <c r="J19" t="str">
        <f t="shared" si="2"/>
        <v>Excellent</v>
      </c>
      <c r="K19" t="str">
        <f t="shared" si="3"/>
        <v>Low Discount</v>
      </c>
    </row>
    <row r="20" spans="1:11" x14ac:dyDescent="0.35">
      <c r="A20" t="s">
        <v>25</v>
      </c>
      <c r="B20" s="4">
        <v>998</v>
      </c>
      <c r="C20" s="4">
        <v>1966</v>
      </c>
      <c r="D20" s="1">
        <v>0.49</v>
      </c>
      <c r="E20" s="8">
        <v>0.49</v>
      </c>
      <c r="F20">
        <v>-44</v>
      </c>
      <c r="G20">
        <f t="shared" si="0"/>
        <v>44</v>
      </c>
      <c r="H20">
        <v>4.5999999999999996</v>
      </c>
      <c r="I20">
        <f t="shared" si="1"/>
        <v>968</v>
      </c>
      <c r="J20" t="str">
        <f t="shared" si="2"/>
        <v>Excellent</v>
      </c>
      <c r="K20" t="str">
        <f t="shared" si="3"/>
        <v>High Discount</v>
      </c>
    </row>
    <row r="21" spans="1:11" x14ac:dyDescent="0.35">
      <c r="A21" t="s">
        <v>26</v>
      </c>
      <c r="B21" s="4">
        <v>38</v>
      </c>
      <c r="C21" s="4">
        <v>80</v>
      </c>
      <c r="D21" s="1">
        <v>0.53</v>
      </c>
      <c r="E21" s="8">
        <v>0.53</v>
      </c>
      <c r="F21">
        <v>-13</v>
      </c>
      <c r="G21">
        <f t="shared" si="0"/>
        <v>13</v>
      </c>
      <c r="H21">
        <v>3.3</v>
      </c>
      <c r="I21">
        <f t="shared" si="1"/>
        <v>42</v>
      </c>
      <c r="J21" t="str">
        <f t="shared" si="2"/>
        <v>Average</v>
      </c>
      <c r="K21" t="str">
        <f t="shared" si="3"/>
        <v>High Discount</v>
      </c>
    </row>
    <row r="22" spans="1:11" x14ac:dyDescent="0.35">
      <c r="A22" t="s">
        <v>28</v>
      </c>
      <c r="B22" s="4">
        <v>880</v>
      </c>
      <c r="C22" s="4">
        <v>1350</v>
      </c>
      <c r="D22" s="1">
        <v>0.35</v>
      </c>
      <c r="E22" s="8">
        <v>0.35</v>
      </c>
      <c r="F22">
        <v>-6</v>
      </c>
      <c r="G22">
        <f t="shared" si="0"/>
        <v>6</v>
      </c>
      <c r="H22">
        <v>4</v>
      </c>
      <c r="I22">
        <f t="shared" si="1"/>
        <v>470</v>
      </c>
      <c r="J22" t="str">
        <f t="shared" si="2"/>
        <v>Excellent</v>
      </c>
      <c r="K22" t="str">
        <f t="shared" si="3"/>
        <v>Medium Discount</v>
      </c>
    </row>
    <row r="23" spans="1:11" x14ac:dyDescent="0.35">
      <c r="A23" t="s">
        <v>29</v>
      </c>
      <c r="B23" s="4">
        <v>1650</v>
      </c>
      <c r="C23" s="4">
        <v>2150</v>
      </c>
      <c r="D23" s="1">
        <v>0.23</v>
      </c>
      <c r="E23" s="8">
        <v>0.23</v>
      </c>
      <c r="F23">
        <v>-14</v>
      </c>
      <c r="G23">
        <f t="shared" si="0"/>
        <v>14</v>
      </c>
      <c r="H23">
        <v>4.4000000000000004</v>
      </c>
      <c r="I23">
        <f t="shared" si="1"/>
        <v>500</v>
      </c>
      <c r="J23" t="str">
        <f t="shared" si="2"/>
        <v>Excellent</v>
      </c>
      <c r="K23" t="str">
        <f t="shared" si="3"/>
        <v>Medium Discount</v>
      </c>
    </row>
    <row r="24" spans="1:11" x14ac:dyDescent="0.35">
      <c r="A24" t="s">
        <v>30</v>
      </c>
      <c r="B24" s="4">
        <v>2048</v>
      </c>
      <c r="C24" s="4">
        <v>4500</v>
      </c>
      <c r="D24" s="1">
        <v>0.54</v>
      </c>
      <c r="E24" s="8">
        <v>0.54</v>
      </c>
      <c r="F24">
        <v>-7</v>
      </c>
      <c r="G24">
        <f t="shared" si="0"/>
        <v>7</v>
      </c>
      <c r="H24">
        <v>4.3</v>
      </c>
      <c r="I24">
        <f t="shared" si="1"/>
        <v>2452</v>
      </c>
      <c r="J24" t="str">
        <f t="shared" si="2"/>
        <v>Excellent</v>
      </c>
      <c r="K24" t="str">
        <f t="shared" si="3"/>
        <v>High Discount</v>
      </c>
    </row>
    <row r="25" spans="1:11" x14ac:dyDescent="0.35">
      <c r="A25" t="s">
        <v>31</v>
      </c>
      <c r="B25" s="4">
        <v>420</v>
      </c>
      <c r="C25" s="4">
        <v>647</v>
      </c>
      <c r="D25" s="1">
        <v>0.35</v>
      </c>
      <c r="E25" s="8">
        <v>0.35</v>
      </c>
      <c r="F25">
        <v>-49</v>
      </c>
      <c r="G25">
        <f t="shared" si="0"/>
        <v>49</v>
      </c>
      <c r="H25">
        <v>4.5999999999999996</v>
      </c>
      <c r="I25">
        <f t="shared" si="1"/>
        <v>227</v>
      </c>
      <c r="J25" t="str">
        <f t="shared" si="2"/>
        <v>Excellent</v>
      </c>
      <c r="K25" t="str">
        <f t="shared" si="3"/>
        <v>Medium Discount</v>
      </c>
    </row>
    <row r="26" spans="1:11" x14ac:dyDescent="0.35">
      <c r="A26" t="s">
        <v>32</v>
      </c>
      <c r="B26" s="4">
        <v>2880</v>
      </c>
      <c r="C26" s="4">
        <v>3520</v>
      </c>
      <c r="D26" s="1">
        <v>0.18</v>
      </c>
      <c r="E26" s="8">
        <v>0.18</v>
      </c>
      <c r="F26">
        <v>-12</v>
      </c>
      <c r="G26">
        <f t="shared" si="0"/>
        <v>12</v>
      </c>
      <c r="H26">
        <v>3.8</v>
      </c>
      <c r="I26">
        <f t="shared" si="1"/>
        <v>640</v>
      </c>
      <c r="J26" t="str">
        <f t="shared" si="2"/>
        <v>Average</v>
      </c>
      <c r="K26" t="str">
        <f t="shared" si="3"/>
        <v>Low Discount</v>
      </c>
    </row>
    <row r="27" spans="1:11" x14ac:dyDescent="0.35">
      <c r="A27" t="s">
        <v>33</v>
      </c>
      <c r="B27" s="4">
        <v>1350</v>
      </c>
      <c r="C27" s="4">
        <v>1990</v>
      </c>
      <c r="D27" s="1">
        <v>0.32</v>
      </c>
      <c r="E27" s="8">
        <v>0.32</v>
      </c>
      <c r="F27">
        <v>-13</v>
      </c>
      <c r="G27">
        <f t="shared" si="0"/>
        <v>13</v>
      </c>
      <c r="H27">
        <v>3.8</v>
      </c>
      <c r="I27">
        <f t="shared" si="1"/>
        <v>640</v>
      </c>
      <c r="J27" t="str">
        <f t="shared" si="2"/>
        <v>Average</v>
      </c>
      <c r="K27" t="str">
        <f t="shared" si="3"/>
        <v>Medium Discount</v>
      </c>
    </row>
    <row r="28" spans="1:11" x14ac:dyDescent="0.35">
      <c r="A28" t="s">
        <v>34</v>
      </c>
      <c r="B28" s="4">
        <v>1758</v>
      </c>
      <c r="C28" s="4">
        <v>2499</v>
      </c>
      <c r="D28" s="1">
        <v>0.3</v>
      </c>
      <c r="E28" s="8">
        <v>0.3</v>
      </c>
      <c r="F28">
        <v>-20</v>
      </c>
      <c r="G28">
        <f t="shared" si="0"/>
        <v>20</v>
      </c>
      <c r="H28">
        <v>4.0999999999999996</v>
      </c>
      <c r="I28">
        <f t="shared" si="1"/>
        <v>741</v>
      </c>
      <c r="J28" t="str">
        <f t="shared" si="2"/>
        <v>Excellent</v>
      </c>
      <c r="K28" t="str">
        <f t="shared" si="3"/>
        <v>Medium Discount</v>
      </c>
    </row>
    <row r="29" spans="1:11" x14ac:dyDescent="0.35">
      <c r="A29" t="s">
        <v>36</v>
      </c>
      <c r="B29" s="4">
        <v>185</v>
      </c>
      <c r="C29" s="4">
        <v>382</v>
      </c>
      <c r="D29" s="1">
        <v>0.52</v>
      </c>
      <c r="E29" s="8">
        <v>0.52</v>
      </c>
      <c r="F29">
        <v>-9</v>
      </c>
      <c r="G29">
        <f t="shared" si="0"/>
        <v>9</v>
      </c>
      <c r="H29">
        <v>4.3</v>
      </c>
      <c r="I29">
        <f t="shared" si="1"/>
        <v>197</v>
      </c>
      <c r="J29" t="str">
        <f t="shared" si="2"/>
        <v>Excellent</v>
      </c>
      <c r="K29" t="str">
        <f t="shared" si="3"/>
        <v>High Discount</v>
      </c>
    </row>
    <row r="30" spans="1:11" x14ac:dyDescent="0.35">
      <c r="A30" t="s">
        <v>37</v>
      </c>
      <c r="B30" s="4">
        <v>980</v>
      </c>
      <c r="C30" s="4">
        <v>1490</v>
      </c>
      <c r="D30" s="1">
        <v>0.34</v>
      </c>
      <c r="E30" s="8">
        <v>0.34</v>
      </c>
      <c r="F30">
        <v>-12</v>
      </c>
      <c r="G30">
        <f t="shared" si="0"/>
        <v>12</v>
      </c>
      <c r="H30">
        <v>4.7</v>
      </c>
      <c r="I30">
        <f t="shared" si="1"/>
        <v>510</v>
      </c>
      <c r="J30" t="str">
        <f t="shared" si="2"/>
        <v>Excellent</v>
      </c>
      <c r="K30" t="str">
        <f t="shared" si="3"/>
        <v>Medium Discount</v>
      </c>
    </row>
    <row r="31" spans="1:11" x14ac:dyDescent="0.35">
      <c r="A31" t="s">
        <v>38</v>
      </c>
      <c r="B31" s="4">
        <v>1820</v>
      </c>
      <c r="C31" s="4">
        <v>3490</v>
      </c>
      <c r="D31" s="1">
        <v>0.48</v>
      </c>
      <c r="E31" s="8">
        <v>0.48</v>
      </c>
      <c r="F31">
        <v>-9</v>
      </c>
      <c r="G31">
        <f t="shared" si="0"/>
        <v>9</v>
      </c>
      <c r="H31">
        <v>4.3</v>
      </c>
      <c r="I31">
        <f t="shared" si="1"/>
        <v>1670</v>
      </c>
      <c r="J31" t="str">
        <f t="shared" si="2"/>
        <v>Excellent</v>
      </c>
      <c r="K31" t="str">
        <f t="shared" si="3"/>
        <v>High Discount</v>
      </c>
    </row>
    <row r="32" spans="1:11" x14ac:dyDescent="0.35">
      <c r="A32" t="s">
        <v>39</v>
      </c>
      <c r="B32" s="4">
        <v>1940</v>
      </c>
      <c r="C32" s="4">
        <v>2650</v>
      </c>
      <c r="D32" s="1">
        <v>0.27</v>
      </c>
      <c r="E32" s="8">
        <v>0.27</v>
      </c>
      <c r="F32">
        <v>-20</v>
      </c>
      <c r="G32">
        <f t="shared" si="0"/>
        <v>20</v>
      </c>
      <c r="H32">
        <v>4.7</v>
      </c>
      <c r="I32">
        <f t="shared" si="1"/>
        <v>710</v>
      </c>
      <c r="J32" t="str">
        <f t="shared" si="2"/>
        <v>Excellent</v>
      </c>
      <c r="K32" t="str">
        <f t="shared" si="3"/>
        <v>Medium Discount</v>
      </c>
    </row>
    <row r="33" spans="1:11" x14ac:dyDescent="0.35">
      <c r="A33" t="s">
        <v>40</v>
      </c>
      <c r="B33" s="4">
        <v>1980</v>
      </c>
      <c r="C33" s="4">
        <v>2699</v>
      </c>
      <c r="D33" s="1">
        <v>0.27</v>
      </c>
      <c r="E33" s="8">
        <v>0.27</v>
      </c>
      <c r="F33">
        <v>-32</v>
      </c>
      <c r="G33">
        <f t="shared" si="0"/>
        <v>32</v>
      </c>
      <c r="H33">
        <v>4.5</v>
      </c>
      <c r="I33">
        <f t="shared" si="1"/>
        <v>719</v>
      </c>
      <c r="J33" t="str">
        <f t="shared" si="2"/>
        <v>Excellent</v>
      </c>
      <c r="K33" t="str">
        <f t="shared" si="3"/>
        <v>Medium Discount</v>
      </c>
    </row>
    <row r="34" spans="1:11" x14ac:dyDescent="0.35">
      <c r="A34" t="s">
        <v>41</v>
      </c>
      <c r="B34" s="4">
        <v>1620</v>
      </c>
      <c r="C34" s="4">
        <v>2690</v>
      </c>
      <c r="D34" s="1">
        <v>0.4</v>
      </c>
      <c r="E34" s="8">
        <v>0.4</v>
      </c>
      <c r="F34">
        <v>-1</v>
      </c>
      <c r="G34">
        <f t="shared" ref="G34:G57" si="4">F34*$L$2</f>
        <v>1</v>
      </c>
      <c r="H34">
        <v>5</v>
      </c>
      <c r="I34">
        <f t="shared" ref="I34:I57" si="5">ABS((C34-B34))</f>
        <v>1070</v>
      </c>
      <c r="J34" t="str">
        <f t="shared" ref="J34:J57" si="6">IF(H34&lt;3,"Poor",IF(H34&lt;4,"Average","Excellent"))</f>
        <v>Excellent</v>
      </c>
      <c r="K34" t="str">
        <f t="shared" ref="K34:K57" si="7">IF(D34&lt;20%,"Low Discount",IF(D34&lt;40%,"Medium Discount","High Discount"))</f>
        <v>High Discount</v>
      </c>
    </row>
    <row r="35" spans="1:11" x14ac:dyDescent="0.35">
      <c r="A35" t="s">
        <v>42</v>
      </c>
      <c r="B35" s="4">
        <v>171</v>
      </c>
      <c r="C35" s="4">
        <v>360</v>
      </c>
      <c r="D35" s="1">
        <v>0.53</v>
      </c>
      <c r="E35" s="8">
        <v>0.53</v>
      </c>
      <c r="F35">
        <v>-2</v>
      </c>
      <c r="G35">
        <f t="shared" si="4"/>
        <v>2</v>
      </c>
      <c r="H35">
        <v>5</v>
      </c>
      <c r="I35">
        <f t="shared" si="5"/>
        <v>189</v>
      </c>
      <c r="J35" t="str">
        <f t="shared" si="6"/>
        <v>Excellent</v>
      </c>
      <c r="K35" t="str">
        <f t="shared" si="7"/>
        <v>High Discount</v>
      </c>
    </row>
    <row r="36" spans="1:11" x14ac:dyDescent="0.35">
      <c r="A36" t="s">
        <v>43</v>
      </c>
      <c r="B36" s="4">
        <v>389</v>
      </c>
      <c r="C36" s="4">
        <v>656</v>
      </c>
      <c r="D36" s="1">
        <v>0.41</v>
      </c>
      <c r="E36" s="8">
        <v>0.41</v>
      </c>
      <c r="F36">
        <v>-36</v>
      </c>
      <c r="G36">
        <f t="shared" si="4"/>
        <v>36</v>
      </c>
      <c r="H36">
        <v>4.3</v>
      </c>
      <c r="I36">
        <f t="shared" si="5"/>
        <v>267</v>
      </c>
      <c r="J36" t="str">
        <f t="shared" si="6"/>
        <v>Excellent</v>
      </c>
      <c r="K36" t="str">
        <f t="shared" si="7"/>
        <v>High Discount</v>
      </c>
    </row>
    <row r="37" spans="1:11" x14ac:dyDescent="0.35">
      <c r="A37" t="s">
        <v>44</v>
      </c>
      <c r="B37" s="4">
        <v>1800</v>
      </c>
      <c r="C37" s="4">
        <v>2700</v>
      </c>
      <c r="D37" s="1">
        <v>0.38</v>
      </c>
      <c r="E37" s="8">
        <v>0.38</v>
      </c>
      <c r="F37">
        <v>-2</v>
      </c>
      <c r="G37">
        <f t="shared" si="4"/>
        <v>2</v>
      </c>
      <c r="H37">
        <v>4.5</v>
      </c>
      <c r="I37">
        <f t="shared" si="5"/>
        <v>900</v>
      </c>
      <c r="J37" t="str">
        <f t="shared" si="6"/>
        <v>Excellent</v>
      </c>
      <c r="K37" t="str">
        <f t="shared" si="7"/>
        <v>Medium Discount</v>
      </c>
    </row>
    <row r="38" spans="1:11" x14ac:dyDescent="0.35">
      <c r="A38" t="s">
        <v>64</v>
      </c>
      <c r="B38" s="4">
        <v>2170</v>
      </c>
      <c r="C38" s="4">
        <v>2500</v>
      </c>
      <c r="D38" s="1">
        <v>0.13</v>
      </c>
      <c r="E38" s="8">
        <v>0.13</v>
      </c>
      <c r="F38">
        <v>-6</v>
      </c>
      <c r="G38">
        <f t="shared" si="4"/>
        <v>6</v>
      </c>
      <c r="H38">
        <v>2.5</v>
      </c>
      <c r="I38">
        <f t="shared" si="5"/>
        <v>330</v>
      </c>
      <c r="J38" t="str">
        <f t="shared" si="6"/>
        <v>Poor</v>
      </c>
      <c r="K38" t="str">
        <f t="shared" si="7"/>
        <v>Low Discount</v>
      </c>
    </row>
    <row r="39" spans="1:11" x14ac:dyDescent="0.35">
      <c r="A39" t="s">
        <v>65</v>
      </c>
      <c r="B39" s="4">
        <v>458</v>
      </c>
      <c r="C39" s="4">
        <v>986</v>
      </c>
      <c r="D39" s="1">
        <v>0.54</v>
      </c>
      <c r="E39" s="8">
        <v>0.54</v>
      </c>
      <c r="F39">
        <v>-10</v>
      </c>
      <c r="G39">
        <f t="shared" si="4"/>
        <v>10</v>
      </c>
      <c r="H39">
        <v>3</v>
      </c>
      <c r="I39">
        <f t="shared" si="5"/>
        <v>528</v>
      </c>
      <c r="J39" t="str">
        <f t="shared" si="6"/>
        <v>Average</v>
      </c>
      <c r="K39" t="str">
        <f t="shared" si="7"/>
        <v>High Discount</v>
      </c>
    </row>
    <row r="40" spans="1:11" x14ac:dyDescent="0.35">
      <c r="A40" t="s">
        <v>66</v>
      </c>
      <c r="B40" s="4">
        <v>2115</v>
      </c>
      <c r="C40" s="4">
        <v>4700</v>
      </c>
      <c r="D40" s="1">
        <v>0.55000000000000004</v>
      </c>
      <c r="E40" s="8">
        <v>0.55000000000000004</v>
      </c>
      <c r="F40">
        <v>-13</v>
      </c>
      <c r="G40">
        <f t="shared" si="4"/>
        <v>13</v>
      </c>
      <c r="H40">
        <v>2.1</v>
      </c>
      <c r="I40">
        <f t="shared" si="5"/>
        <v>2585</v>
      </c>
      <c r="J40" t="str">
        <f t="shared" si="6"/>
        <v>Poor</v>
      </c>
      <c r="K40" t="str">
        <f t="shared" si="7"/>
        <v>High Discount</v>
      </c>
    </row>
    <row r="41" spans="1:11" x14ac:dyDescent="0.35">
      <c r="A41" t="s">
        <v>67</v>
      </c>
      <c r="B41" s="4">
        <v>445</v>
      </c>
      <c r="C41" s="4">
        <v>873</v>
      </c>
      <c r="D41" s="1">
        <v>0.49</v>
      </c>
      <c r="E41" s="8">
        <v>0.49</v>
      </c>
      <c r="F41">
        <v>-69</v>
      </c>
      <c r="G41">
        <f t="shared" si="4"/>
        <v>69</v>
      </c>
      <c r="H41">
        <v>2.8</v>
      </c>
      <c r="I41">
        <f t="shared" si="5"/>
        <v>428</v>
      </c>
      <c r="J41" t="str">
        <f t="shared" si="6"/>
        <v>Poor</v>
      </c>
      <c r="K41" t="str">
        <f t="shared" si="7"/>
        <v>High Discount</v>
      </c>
    </row>
    <row r="42" spans="1:11" x14ac:dyDescent="0.35">
      <c r="A42" t="s">
        <v>68</v>
      </c>
      <c r="B42" s="4">
        <v>325</v>
      </c>
      <c r="C42" s="4">
        <v>680</v>
      </c>
      <c r="D42" s="1">
        <v>0.52</v>
      </c>
      <c r="E42" s="8">
        <v>0.52</v>
      </c>
      <c r="F42">
        <v>-15</v>
      </c>
      <c r="G42">
        <f t="shared" si="4"/>
        <v>15</v>
      </c>
      <c r="H42">
        <v>2.7</v>
      </c>
      <c r="I42">
        <f t="shared" si="5"/>
        <v>355</v>
      </c>
      <c r="J42" t="str">
        <f t="shared" si="6"/>
        <v>Poor</v>
      </c>
      <c r="K42" t="str">
        <f t="shared" si="7"/>
        <v>High Discount</v>
      </c>
    </row>
    <row r="43" spans="1:11" x14ac:dyDescent="0.35">
      <c r="A43" t="s">
        <v>69</v>
      </c>
      <c r="B43" s="4">
        <v>1220</v>
      </c>
      <c r="C43" s="4">
        <v>1555</v>
      </c>
      <c r="D43" s="1">
        <v>0.22</v>
      </c>
      <c r="E43" s="8">
        <v>0.22</v>
      </c>
      <c r="F43">
        <v>-16</v>
      </c>
      <c r="G43">
        <f t="shared" si="4"/>
        <v>16</v>
      </c>
      <c r="H43">
        <v>2.9</v>
      </c>
      <c r="I43">
        <f t="shared" si="5"/>
        <v>335</v>
      </c>
      <c r="J43" t="str">
        <f t="shared" si="6"/>
        <v>Poor</v>
      </c>
      <c r="K43" t="str">
        <f t="shared" si="7"/>
        <v>Medium Discount</v>
      </c>
    </row>
    <row r="44" spans="1:11" x14ac:dyDescent="0.35">
      <c r="A44" t="s">
        <v>70</v>
      </c>
      <c r="B44" s="4">
        <v>990</v>
      </c>
      <c r="C44" s="4">
        <v>1814</v>
      </c>
      <c r="D44" s="1">
        <v>0.45</v>
      </c>
      <c r="E44" s="8">
        <v>0.45</v>
      </c>
      <c r="F44">
        <v>-6</v>
      </c>
      <c r="G44">
        <f t="shared" si="4"/>
        <v>6</v>
      </c>
      <c r="H44">
        <v>2.2000000000000002</v>
      </c>
      <c r="I44">
        <f t="shared" si="5"/>
        <v>824</v>
      </c>
      <c r="J44" t="str">
        <f t="shared" si="6"/>
        <v>Poor</v>
      </c>
      <c r="K44" t="str">
        <f t="shared" si="7"/>
        <v>High Discount</v>
      </c>
    </row>
    <row r="45" spans="1:11" x14ac:dyDescent="0.35">
      <c r="A45" t="s">
        <v>71</v>
      </c>
      <c r="B45" s="4">
        <v>1000</v>
      </c>
      <c r="C45" s="4">
        <v>2000</v>
      </c>
      <c r="D45" s="1">
        <v>0.5</v>
      </c>
      <c r="E45" s="8">
        <v>0.5</v>
      </c>
      <c r="F45">
        <v>-7</v>
      </c>
      <c r="G45">
        <f t="shared" si="4"/>
        <v>7</v>
      </c>
      <c r="H45">
        <v>2.2999999999999998</v>
      </c>
      <c r="I45">
        <f t="shared" si="5"/>
        <v>1000</v>
      </c>
      <c r="J45" t="str">
        <f t="shared" si="6"/>
        <v>Poor</v>
      </c>
      <c r="K45" t="str">
        <f t="shared" si="7"/>
        <v>High Discount</v>
      </c>
    </row>
    <row r="46" spans="1:11" x14ac:dyDescent="0.35">
      <c r="A46" t="s">
        <v>72</v>
      </c>
      <c r="B46" s="4">
        <v>3750</v>
      </c>
      <c r="C46" s="4">
        <v>6143</v>
      </c>
      <c r="D46" s="1">
        <v>0.39</v>
      </c>
      <c r="E46" s="8">
        <v>0.39</v>
      </c>
      <c r="F46">
        <v>-5</v>
      </c>
      <c r="G46">
        <f t="shared" si="4"/>
        <v>5</v>
      </c>
      <c r="H46">
        <v>3</v>
      </c>
      <c r="I46">
        <f t="shared" si="5"/>
        <v>2393</v>
      </c>
      <c r="J46" t="str">
        <f t="shared" si="6"/>
        <v>Average</v>
      </c>
      <c r="K46" t="str">
        <f t="shared" si="7"/>
        <v>Medium Discount</v>
      </c>
    </row>
    <row r="47" spans="1:11" x14ac:dyDescent="0.35">
      <c r="A47" t="s">
        <v>73</v>
      </c>
      <c r="B47" s="4">
        <v>382</v>
      </c>
      <c r="C47" s="4">
        <v>700</v>
      </c>
      <c r="D47" s="1">
        <v>0.45</v>
      </c>
      <c r="E47" s="8">
        <v>0.45</v>
      </c>
      <c r="F47">
        <v>-17</v>
      </c>
      <c r="G47">
        <f t="shared" si="4"/>
        <v>17</v>
      </c>
      <c r="H47">
        <v>2.6</v>
      </c>
      <c r="I47">
        <f t="shared" si="5"/>
        <v>318</v>
      </c>
      <c r="J47" t="str">
        <f t="shared" si="6"/>
        <v>Poor</v>
      </c>
      <c r="K47" t="str">
        <f t="shared" si="7"/>
        <v>High Discount</v>
      </c>
    </row>
    <row r="48" spans="1:11" x14ac:dyDescent="0.35">
      <c r="A48" t="s">
        <v>74</v>
      </c>
      <c r="B48" s="4">
        <v>2300</v>
      </c>
      <c r="C48" s="4">
        <v>3240</v>
      </c>
      <c r="D48" s="1">
        <v>0.28999999999999998</v>
      </c>
      <c r="E48" s="8">
        <v>0.28999999999999998</v>
      </c>
      <c r="F48">
        <v>-5</v>
      </c>
      <c r="G48">
        <f t="shared" si="4"/>
        <v>5</v>
      </c>
      <c r="H48">
        <v>3</v>
      </c>
      <c r="I48">
        <f t="shared" si="5"/>
        <v>940</v>
      </c>
      <c r="J48" t="str">
        <f t="shared" si="6"/>
        <v>Average</v>
      </c>
      <c r="K48" t="str">
        <f t="shared" si="7"/>
        <v>Medium Discount</v>
      </c>
    </row>
    <row r="49" spans="1:11" x14ac:dyDescent="0.35">
      <c r="A49" t="s">
        <v>75</v>
      </c>
      <c r="B49" s="4">
        <v>345</v>
      </c>
      <c r="C49" s="4">
        <v>602</v>
      </c>
      <c r="D49" s="1">
        <v>0.43</v>
      </c>
      <c r="E49" s="8">
        <v>0.43</v>
      </c>
      <c r="F49">
        <v>-6</v>
      </c>
      <c r="G49">
        <f t="shared" si="4"/>
        <v>6</v>
      </c>
      <c r="H49">
        <v>2.2999999999999998</v>
      </c>
      <c r="I49">
        <f t="shared" si="5"/>
        <v>257</v>
      </c>
      <c r="J49" t="str">
        <f t="shared" si="6"/>
        <v>Poor</v>
      </c>
      <c r="K49" t="str">
        <f t="shared" si="7"/>
        <v>High Discount</v>
      </c>
    </row>
    <row r="50" spans="1:11" x14ac:dyDescent="0.35">
      <c r="A50" t="s">
        <v>76</v>
      </c>
      <c r="B50" s="4">
        <v>509</v>
      </c>
      <c r="C50" s="4">
        <v>899</v>
      </c>
      <c r="D50" s="1">
        <v>0.43</v>
      </c>
      <c r="E50" s="8">
        <v>0.43</v>
      </c>
      <c r="F50">
        <v>-5</v>
      </c>
      <c r="G50">
        <f t="shared" si="4"/>
        <v>5</v>
      </c>
      <c r="H50">
        <v>3</v>
      </c>
      <c r="I50">
        <f t="shared" si="5"/>
        <v>390</v>
      </c>
      <c r="J50" t="str">
        <f t="shared" si="6"/>
        <v>Average</v>
      </c>
      <c r="K50" t="str">
        <f t="shared" si="7"/>
        <v>High Discount</v>
      </c>
    </row>
    <row r="51" spans="1:11" x14ac:dyDescent="0.35">
      <c r="A51" t="s">
        <v>77</v>
      </c>
      <c r="B51" s="4">
        <v>968</v>
      </c>
      <c r="C51" s="4">
        <v>1814</v>
      </c>
      <c r="D51" s="1">
        <v>0.47</v>
      </c>
      <c r="E51" s="8">
        <v>0.47</v>
      </c>
      <c r="F51">
        <v>-6</v>
      </c>
      <c r="G51">
        <f t="shared" si="4"/>
        <v>6</v>
      </c>
      <c r="H51">
        <v>2.2000000000000002</v>
      </c>
      <c r="I51">
        <f t="shared" si="5"/>
        <v>846</v>
      </c>
      <c r="J51" t="str">
        <f t="shared" si="6"/>
        <v>Poor</v>
      </c>
      <c r="K51" t="str">
        <f t="shared" si="7"/>
        <v>High Discount</v>
      </c>
    </row>
    <row r="52" spans="1:11" x14ac:dyDescent="0.35">
      <c r="A52" t="s">
        <v>78</v>
      </c>
      <c r="B52" s="4">
        <v>1570</v>
      </c>
      <c r="C52" s="4">
        <v>2988</v>
      </c>
      <c r="D52" s="1">
        <v>0.47</v>
      </c>
      <c r="E52" s="8">
        <v>0.47</v>
      </c>
      <c r="F52">
        <v>-7</v>
      </c>
      <c r="G52">
        <f t="shared" si="4"/>
        <v>7</v>
      </c>
      <c r="H52">
        <v>2.1</v>
      </c>
      <c r="I52">
        <f t="shared" si="5"/>
        <v>1418</v>
      </c>
      <c r="J52" t="str">
        <f t="shared" si="6"/>
        <v>Poor</v>
      </c>
      <c r="K52" t="str">
        <f t="shared" si="7"/>
        <v>High Discount</v>
      </c>
    </row>
    <row r="53" spans="1:11" x14ac:dyDescent="0.35">
      <c r="A53" t="s">
        <v>83</v>
      </c>
      <c r="B53" s="4">
        <v>1189</v>
      </c>
      <c r="C53" s="4">
        <v>2199</v>
      </c>
      <c r="D53" s="1">
        <v>0.46</v>
      </c>
      <c r="E53" s="8">
        <v>0.46</v>
      </c>
      <c r="F53">
        <v>-1</v>
      </c>
      <c r="G53">
        <f t="shared" si="4"/>
        <v>1</v>
      </c>
      <c r="H53">
        <v>3</v>
      </c>
      <c r="I53">
        <f t="shared" si="5"/>
        <v>1010</v>
      </c>
      <c r="J53" t="str">
        <f t="shared" si="6"/>
        <v>Average</v>
      </c>
      <c r="K53" t="str">
        <f t="shared" si="7"/>
        <v>High Discount</v>
      </c>
    </row>
    <row r="54" spans="1:11" x14ac:dyDescent="0.35">
      <c r="A54" t="s">
        <v>84</v>
      </c>
      <c r="B54" s="4">
        <v>979</v>
      </c>
      <c r="C54" s="4">
        <v>1920</v>
      </c>
      <c r="D54" s="1">
        <v>0.49</v>
      </c>
      <c r="E54" s="8">
        <v>0.49</v>
      </c>
      <c r="F54">
        <v>-1</v>
      </c>
      <c r="G54">
        <f t="shared" si="4"/>
        <v>1</v>
      </c>
      <c r="H54">
        <v>5</v>
      </c>
      <c r="I54">
        <f t="shared" si="5"/>
        <v>941</v>
      </c>
      <c r="J54" t="str">
        <f t="shared" si="6"/>
        <v>Excellent</v>
      </c>
      <c r="K54" t="str">
        <f t="shared" si="7"/>
        <v>High Discount</v>
      </c>
    </row>
    <row r="55" spans="1:11" x14ac:dyDescent="0.35">
      <c r="A55" t="s">
        <v>87</v>
      </c>
      <c r="B55" s="4">
        <v>330</v>
      </c>
      <c r="C55" s="4">
        <v>647</v>
      </c>
      <c r="D55" s="1">
        <v>0.49</v>
      </c>
      <c r="E55" s="8">
        <v>0.49</v>
      </c>
      <c r="F55">
        <v>-1</v>
      </c>
      <c r="G55">
        <f t="shared" si="4"/>
        <v>1</v>
      </c>
      <c r="H55">
        <v>4</v>
      </c>
      <c r="I55">
        <f t="shared" si="5"/>
        <v>317</v>
      </c>
      <c r="J55" t="str">
        <f t="shared" si="6"/>
        <v>Excellent</v>
      </c>
      <c r="K55" t="str">
        <f t="shared" si="7"/>
        <v>High Discount</v>
      </c>
    </row>
    <row r="56" spans="1:11" x14ac:dyDescent="0.35">
      <c r="A56" t="s">
        <v>104</v>
      </c>
      <c r="B56" s="4">
        <v>3640</v>
      </c>
      <c r="C56" s="4">
        <v>4588</v>
      </c>
      <c r="D56" s="1">
        <v>0.21</v>
      </c>
      <c r="E56" s="8">
        <v>0.21</v>
      </c>
      <c r="F56">
        <v>-1</v>
      </c>
      <c r="G56">
        <f t="shared" si="4"/>
        <v>1</v>
      </c>
      <c r="H56">
        <v>5</v>
      </c>
      <c r="I56">
        <f t="shared" si="5"/>
        <v>948</v>
      </c>
      <c r="J56" t="str">
        <f t="shared" si="6"/>
        <v>Excellent</v>
      </c>
      <c r="K56" t="str">
        <f t="shared" si="7"/>
        <v>Medium Discount</v>
      </c>
    </row>
    <row r="57" spans="1:11" x14ac:dyDescent="0.35">
      <c r="A57" t="s">
        <v>113</v>
      </c>
      <c r="B57" s="4">
        <v>450</v>
      </c>
      <c r="C57" s="4">
        <v>900</v>
      </c>
      <c r="D57" s="1">
        <v>0.5</v>
      </c>
      <c r="E57" s="8">
        <v>0.5</v>
      </c>
      <c r="F57">
        <v>-1</v>
      </c>
      <c r="G57">
        <f t="shared" si="4"/>
        <v>1</v>
      </c>
      <c r="H57">
        <v>2</v>
      </c>
      <c r="I57">
        <f t="shared" si="5"/>
        <v>450</v>
      </c>
      <c r="J57" t="str">
        <f t="shared" si="6"/>
        <v>Poor</v>
      </c>
      <c r="K57" t="str">
        <f t="shared" si="7"/>
        <v>High Discount</v>
      </c>
    </row>
    <row r="58" spans="1:11" s="2" customFormat="1" x14ac:dyDescent="0.35">
      <c r="A58" s="2" t="s">
        <v>118</v>
      </c>
      <c r="B58" s="6">
        <f>AVERAGE(B2:B57)</f>
        <v>1308.9464285714287</v>
      </c>
      <c r="C58" s="6">
        <f>AVERAGE(C2:C57)</f>
        <v>2064.4107142857142</v>
      </c>
      <c r="D58" s="7">
        <f>AVERAGE(D2:D57)</f>
        <v>0.39053571428571426</v>
      </c>
      <c r="E58" s="7"/>
      <c r="F58" s="6"/>
      <c r="G58">
        <f>SUM(G2:G57)</f>
        <v>684</v>
      </c>
      <c r="H58" s="6">
        <f>AVERAGE(H2:H57)</f>
        <v>3.8749999999999996</v>
      </c>
      <c r="I58" s="6"/>
    </row>
    <row r="59" spans="1:11" s="2" customFormat="1" x14ac:dyDescent="0.35">
      <c r="A59" s="2" t="s">
        <v>119</v>
      </c>
      <c r="B59" s="6">
        <f>MAX(B2:B57)</f>
        <v>3750</v>
      </c>
      <c r="C59" s="3"/>
      <c r="G59"/>
    </row>
    <row r="60" spans="1:11" s="2" customFormat="1" x14ac:dyDescent="0.35">
      <c r="A60" s="2" t="s">
        <v>120</v>
      </c>
      <c r="B60" s="6">
        <f>MIN(B3:B58)</f>
        <v>38</v>
      </c>
      <c r="C60" s="3"/>
    </row>
    <row r="62" spans="1:11" x14ac:dyDescent="0.35">
      <c r="A62" t="s">
        <v>121</v>
      </c>
      <c r="B62" s="5">
        <f>AVERAGEIF(J2:J57,A62,D2:D57)</f>
        <v>0.37428571428571439</v>
      </c>
      <c r="C62" s="4">
        <f>AVERAGEIF(J2:J57,A62,$H$2:$H$57)</f>
        <v>4.5314285714285703</v>
      </c>
    </row>
    <row r="63" spans="1:11" x14ac:dyDescent="0.35">
      <c r="A63" t="s">
        <v>118</v>
      </c>
      <c r="B63" s="5">
        <f>AVERAGEIF(J3:J57,A63,D3:D57)</f>
        <v>0.3988888888888889</v>
      </c>
      <c r="C63" s="4">
        <f>AVERAGEIF(J3:J57,A63,$H$2:$H$57)</f>
        <v>3.2888888888888892</v>
      </c>
    </row>
    <row r="64" spans="1:11" x14ac:dyDescent="0.35">
      <c r="A64" t="s">
        <v>122</v>
      </c>
      <c r="B64" s="5">
        <f>AVERAGEIF(J4:J57,A64,D4:D57)</f>
        <v>0.43166666666666664</v>
      </c>
      <c r="C64" s="4">
        <f>AVERAGEIF(J4:J59,A64,$H$2:$H$57)</f>
        <v>2.875</v>
      </c>
    </row>
    <row r="65" spans="2:2" x14ac:dyDescent="0.35">
      <c r="B65" s="5"/>
    </row>
    <row r="67" spans="2:2" x14ac:dyDescent="0.35">
      <c r="B67" s="4">
        <v>1308.9464285714287</v>
      </c>
    </row>
  </sheetData>
  <autoFilter ref="A1:L60" xr:uid="{B2FE58D0-555F-4A2B-97F0-1C9E393C8B0A}"/>
  <conditionalFormatting sqref="A2:K57">
    <cfRule type="expression" dxfId="8" priority="1">
      <formula>$D3&lt;20%</formula>
    </cfRule>
    <cfRule type="expression" dxfId="7" priority="2">
      <formula>AND($D3&gt;=20%, $D3&lt;40%)</formula>
    </cfRule>
    <cfRule type="expression" dxfId="6" priority="3">
      <formula>$D3&gt;40%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7F92-B70D-4380-A807-8044F94BB2DD}">
  <dimension ref="A1:K6"/>
  <sheetViews>
    <sheetView workbookViewId="0">
      <selection activeCell="B20" sqref="B20"/>
    </sheetView>
  </sheetViews>
  <sheetFormatPr defaultRowHeight="14.5" x14ac:dyDescent="0.35"/>
  <cols>
    <col min="1" max="1" width="67.26953125" customWidth="1"/>
    <col min="2" max="2" width="12" bestFit="1" customWidth="1"/>
    <col min="3" max="3" width="9.6328125" bestFit="1" customWidth="1"/>
    <col min="4" max="4" width="8.26953125" bestFit="1" customWidth="1"/>
    <col min="6" max="7" width="7.1796875" bestFit="1" customWidth="1"/>
    <col min="8" max="8" width="7.36328125" bestFit="1" customWidth="1"/>
    <col min="9" max="9" width="23.26953125" bestFit="1" customWidth="1"/>
    <col min="10" max="10" width="15.54296875" bestFit="1" customWidth="1"/>
    <col min="11" max="11" width="16.453125" bestFit="1" customWidth="1"/>
  </cols>
  <sheetData>
    <row r="1" spans="1:11" x14ac:dyDescent="0.35">
      <c r="A1" s="2" t="s">
        <v>0</v>
      </c>
      <c r="B1" s="2" t="s">
        <v>1</v>
      </c>
      <c r="C1" s="3" t="s">
        <v>2</v>
      </c>
      <c r="D1" s="2" t="s">
        <v>3</v>
      </c>
      <c r="E1" s="2" t="s">
        <v>123</v>
      </c>
      <c r="F1" s="2" t="s">
        <v>4</v>
      </c>
      <c r="G1" s="2" t="s">
        <v>4</v>
      </c>
      <c r="H1" s="2" t="s">
        <v>5</v>
      </c>
      <c r="I1" s="2" t="s">
        <v>115</v>
      </c>
      <c r="J1" s="2" t="s">
        <v>116</v>
      </c>
      <c r="K1" s="2" t="s">
        <v>117</v>
      </c>
    </row>
    <row r="2" spans="1:11" x14ac:dyDescent="0.35">
      <c r="A2" t="s">
        <v>113</v>
      </c>
      <c r="B2" s="4">
        <v>450</v>
      </c>
      <c r="C2" s="4">
        <v>900</v>
      </c>
      <c r="D2" s="1">
        <v>0.5</v>
      </c>
      <c r="E2" s="8">
        <v>0.5</v>
      </c>
      <c r="F2">
        <v>-1</v>
      </c>
      <c r="G2">
        <f>F2*$L$2</f>
        <v>0</v>
      </c>
      <c r="H2">
        <v>2</v>
      </c>
      <c r="I2">
        <f>ABS((C2-B2))</f>
        <v>450</v>
      </c>
      <c r="J2" t="str">
        <f>IF(H2&lt;3,"Poor",IF(H2&lt;4,"Average","Excellent"))</f>
        <v>Poor</v>
      </c>
      <c r="K2" t="str">
        <f>IF(D2&lt;20%,"Low Discount",IF(D2&lt;40%,"Medium Discount","High Discount"))</f>
        <v>High Discount</v>
      </c>
    </row>
    <row r="3" spans="1:11" x14ac:dyDescent="0.35">
      <c r="A3" t="s">
        <v>66</v>
      </c>
      <c r="B3" s="4">
        <v>2115</v>
      </c>
      <c r="C3" s="4">
        <v>4700</v>
      </c>
      <c r="D3" s="1">
        <v>0.55000000000000004</v>
      </c>
      <c r="E3" s="8">
        <v>0.55000000000000004</v>
      </c>
      <c r="F3">
        <v>-13</v>
      </c>
      <c r="G3">
        <f>F3*$L$2</f>
        <v>0</v>
      </c>
      <c r="H3">
        <v>2.1</v>
      </c>
      <c r="I3">
        <f>ABS((C3-B3))</f>
        <v>2585</v>
      </c>
      <c r="J3" t="str">
        <f>IF(H3&lt;3,"Poor",IF(H3&lt;4,"Average","Excellent"))</f>
        <v>Poor</v>
      </c>
      <c r="K3" t="str">
        <f>IF(D3&lt;20%,"Low Discount",IF(D3&lt;40%,"Medium Discount","High Discount"))</f>
        <v>High Discount</v>
      </c>
    </row>
    <row r="4" spans="1:11" x14ac:dyDescent="0.35">
      <c r="A4" t="s">
        <v>78</v>
      </c>
      <c r="B4" s="4">
        <v>1570</v>
      </c>
      <c r="C4" s="4">
        <v>2988</v>
      </c>
      <c r="D4" s="1">
        <v>0.47</v>
      </c>
      <c r="E4" s="8">
        <v>0.47</v>
      </c>
      <c r="F4">
        <v>-7</v>
      </c>
      <c r="G4">
        <f>F4*$L$2</f>
        <v>0</v>
      </c>
      <c r="H4">
        <v>2.1</v>
      </c>
      <c r="I4">
        <f>ABS((C4-B4))</f>
        <v>1418</v>
      </c>
      <c r="J4" t="str">
        <f>IF(H4&lt;3,"Poor",IF(H4&lt;4,"Average","Excellent"))</f>
        <v>Poor</v>
      </c>
      <c r="K4" t="str">
        <f>IF(D4&lt;20%,"Low Discount",IF(D4&lt;40%,"Medium Discount","High Discount"))</f>
        <v>High Discount</v>
      </c>
    </row>
    <row r="5" spans="1:11" x14ac:dyDescent="0.35">
      <c r="A5" t="s">
        <v>70</v>
      </c>
      <c r="B5" s="4">
        <v>990</v>
      </c>
      <c r="C5" s="4">
        <v>1814</v>
      </c>
      <c r="D5" s="1">
        <v>0.45</v>
      </c>
      <c r="E5" s="8">
        <v>0.45</v>
      </c>
      <c r="F5">
        <v>-6</v>
      </c>
      <c r="G5">
        <f>F5*$L$2</f>
        <v>0</v>
      </c>
      <c r="H5">
        <v>2.2000000000000002</v>
      </c>
      <c r="I5">
        <f>ABS((C5-B5))</f>
        <v>824</v>
      </c>
      <c r="J5" t="str">
        <f>IF(H5&lt;3,"Poor",IF(H5&lt;4,"Average","Excellent"))</f>
        <v>Poor</v>
      </c>
      <c r="K5" t="str">
        <f>IF(D5&lt;20%,"Low Discount",IF(D5&lt;40%,"Medium Discount","High Discount"))</f>
        <v>High Discount</v>
      </c>
    </row>
    <row r="6" spans="1:11" x14ac:dyDescent="0.35">
      <c r="A6" t="s">
        <v>77</v>
      </c>
      <c r="B6" s="4">
        <v>968</v>
      </c>
      <c r="C6" s="4">
        <v>1814</v>
      </c>
      <c r="D6" s="1">
        <v>0.47</v>
      </c>
      <c r="E6" s="8">
        <v>0.47</v>
      </c>
      <c r="F6">
        <v>-6</v>
      </c>
      <c r="G6">
        <f>F6*$L$2</f>
        <v>0</v>
      </c>
      <c r="H6">
        <v>2.2000000000000002</v>
      </c>
      <c r="I6">
        <f>ABS((C6-B6))</f>
        <v>846</v>
      </c>
      <c r="J6" t="str">
        <f>IF(H6&lt;3,"Poor",IF(H6&lt;4,"Average","Excellent"))</f>
        <v>Poor</v>
      </c>
      <c r="K6" t="str">
        <f>IF(D6&lt;20%,"Low Discount",IF(D6&lt;40%,"Medium Discount","High Discount"))</f>
        <v>High Discount</v>
      </c>
    </row>
  </sheetData>
  <sortState xmlns:xlrd2="http://schemas.microsoft.com/office/spreadsheetml/2017/richdata2" ref="A2:K6">
    <sortCondition ref="H2:H6"/>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0485-0E1C-4265-BF1A-1F15E3433B13}">
  <dimension ref="A1:I60"/>
  <sheetViews>
    <sheetView topLeftCell="A34" workbookViewId="0">
      <selection activeCell="B12" sqref="B12"/>
    </sheetView>
  </sheetViews>
  <sheetFormatPr defaultRowHeight="14.5" x14ac:dyDescent="0.35"/>
  <cols>
    <col min="1" max="1" width="91.36328125" bestFit="1" customWidth="1"/>
    <col min="2" max="2" width="12" bestFit="1" customWidth="1"/>
    <col min="3" max="3" width="10.1796875" bestFit="1" customWidth="1"/>
    <col min="4" max="4" width="8.26953125" bestFit="1" customWidth="1"/>
    <col min="5" max="5" width="7.1796875" bestFit="1" customWidth="1"/>
    <col min="6" max="6" width="7.36328125" bestFit="1" customWidth="1"/>
  </cols>
  <sheetData>
    <row r="1" spans="1:9" s="2" customFormat="1" x14ac:dyDescent="0.35">
      <c r="A1" s="2" t="s">
        <v>0</v>
      </c>
      <c r="B1" s="2" t="s">
        <v>1</v>
      </c>
      <c r="C1" s="3" t="s">
        <v>2</v>
      </c>
      <c r="D1" s="2" t="s">
        <v>3</v>
      </c>
      <c r="E1" s="2" t="s">
        <v>4</v>
      </c>
      <c r="F1" s="2" t="s">
        <v>5</v>
      </c>
    </row>
    <row r="2" spans="1:9" x14ac:dyDescent="0.35">
      <c r="A2" t="s">
        <v>17</v>
      </c>
      <c r="B2" s="4">
        <v>990</v>
      </c>
      <c r="C2" s="4"/>
      <c r="D2" s="1"/>
      <c r="E2">
        <v>-39</v>
      </c>
      <c r="F2">
        <v>4.7</v>
      </c>
      <c r="G2">
        <f>ABS((C2-B2))</f>
        <v>990</v>
      </c>
      <c r="H2" t="str">
        <f>IF(F2&lt;3,"Poor",IF(F2&lt;4,"Average","Excellent"))</f>
        <v>Excellent</v>
      </c>
      <c r="I2" t="str">
        <f>IF(D2&lt;20%,"Low Discount",IF(D2&lt;40%,"Medium Discount","High Discount"))</f>
        <v>Low Discount</v>
      </c>
    </row>
    <row r="3" spans="1:9" x14ac:dyDescent="0.35">
      <c r="A3" t="s">
        <v>27</v>
      </c>
      <c r="B3" s="4">
        <v>1860</v>
      </c>
      <c r="C3" s="4">
        <v>3220</v>
      </c>
      <c r="D3" s="1">
        <v>0.42</v>
      </c>
    </row>
    <row r="4" spans="1:9" x14ac:dyDescent="0.35">
      <c r="A4" t="s">
        <v>35</v>
      </c>
      <c r="B4" s="4">
        <v>2200</v>
      </c>
      <c r="C4" s="4">
        <v>4080</v>
      </c>
      <c r="D4" s="1">
        <v>0.46</v>
      </c>
    </row>
    <row r="5" spans="1:9" x14ac:dyDescent="0.35">
      <c r="A5" t="s">
        <v>45</v>
      </c>
      <c r="B5" s="4">
        <v>2750</v>
      </c>
      <c r="C5" s="4">
        <v>4471</v>
      </c>
      <c r="D5" s="1">
        <v>0.38</v>
      </c>
    </row>
    <row r="6" spans="1:9" x14ac:dyDescent="0.35">
      <c r="A6" t="s">
        <v>46</v>
      </c>
      <c r="B6" s="4">
        <v>475</v>
      </c>
      <c r="C6" s="4">
        <v>931</v>
      </c>
      <c r="D6" s="1">
        <v>0.49</v>
      </c>
    </row>
    <row r="7" spans="1:9" x14ac:dyDescent="0.35">
      <c r="A7" t="s">
        <v>47</v>
      </c>
      <c r="B7" s="4">
        <v>238</v>
      </c>
      <c r="C7" s="4">
        <v>476</v>
      </c>
      <c r="D7" s="1">
        <v>0.5</v>
      </c>
    </row>
    <row r="8" spans="1:9" x14ac:dyDescent="0.35">
      <c r="A8" t="s">
        <v>48</v>
      </c>
      <c r="B8" s="4">
        <v>610</v>
      </c>
      <c r="C8" s="4">
        <v>1060</v>
      </c>
      <c r="D8" s="1">
        <v>0.42</v>
      </c>
    </row>
    <row r="9" spans="1:9" x14ac:dyDescent="0.35">
      <c r="A9" t="s">
        <v>48</v>
      </c>
      <c r="B9" s="4">
        <v>610</v>
      </c>
      <c r="C9" s="4">
        <v>1060</v>
      </c>
      <c r="D9" s="1">
        <v>0.42</v>
      </c>
    </row>
    <row r="10" spans="1:9" x14ac:dyDescent="0.35">
      <c r="A10" t="s">
        <v>49</v>
      </c>
      <c r="B10" s="4">
        <v>2132</v>
      </c>
      <c r="C10" s="4">
        <v>2169</v>
      </c>
      <c r="D10" s="1">
        <v>0.02</v>
      </c>
    </row>
    <row r="11" spans="1:9" x14ac:dyDescent="0.35">
      <c r="A11" t="s">
        <v>50</v>
      </c>
      <c r="B11" s="4">
        <v>999</v>
      </c>
      <c r="C11" s="4">
        <v>2000</v>
      </c>
      <c r="D11" s="1">
        <v>0.5</v>
      </c>
    </row>
    <row r="12" spans="1:9" x14ac:dyDescent="0.35">
      <c r="A12" t="s">
        <v>51</v>
      </c>
      <c r="B12" s="4">
        <v>1190</v>
      </c>
      <c r="C12" s="4">
        <v>1785</v>
      </c>
      <c r="D12" s="1">
        <v>0.33</v>
      </c>
    </row>
    <row r="13" spans="1:9" x14ac:dyDescent="0.35">
      <c r="A13" t="s">
        <v>52</v>
      </c>
      <c r="B13" s="4">
        <v>671</v>
      </c>
      <c r="C13" s="4">
        <v>1316</v>
      </c>
      <c r="D13" s="1">
        <v>0.49</v>
      </c>
    </row>
    <row r="14" spans="1:9" x14ac:dyDescent="0.35">
      <c r="A14" t="s">
        <v>53</v>
      </c>
      <c r="B14" s="4">
        <v>1200</v>
      </c>
      <c r="C14" s="4">
        <v>1950</v>
      </c>
      <c r="D14" s="1">
        <v>0.38</v>
      </c>
    </row>
    <row r="15" spans="1:9" x14ac:dyDescent="0.35">
      <c r="A15" t="s">
        <v>54</v>
      </c>
      <c r="B15" s="4">
        <v>199</v>
      </c>
      <c r="C15" s="4">
        <v>504</v>
      </c>
      <c r="D15" s="1">
        <v>0.61</v>
      </c>
    </row>
    <row r="16" spans="1:9" x14ac:dyDescent="0.35">
      <c r="A16" t="s">
        <v>55</v>
      </c>
      <c r="B16" s="4">
        <v>299</v>
      </c>
      <c r="C16" s="4">
        <v>600</v>
      </c>
      <c r="D16" s="1">
        <v>0.5</v>
      </c>
    </row>
    <row r="17" spans="1:4" x14ac:dyDescent="0.35">
      <c r="A17" t="s">
        <v>56</v>
      </c>
      <c r="B17" s="4">
        <v>1660</v>
      </c>
      <c r="C17" s="4">
        <v>1699</v>
      </c>
      <c r="D17" s="1">
        <v>0.02</v>
      </c>
    </row>
    <row r="18" spans="1:4" x14ac:dyDescent="0.35">
      <c r="A18" t="s">
        <v>57</v>
      </c>
      <c r="B18" s="4">
        <v>299</v>
      </c>
      <c r="C18" s="4">
        <v>384</v>
      </c>
      <c r="D18" s="1">
        <v>0.22</v>
      </c>
    </row>
    <row r="19" spans="1:4" x14ac:dyDescent="0.35">
      <c r="A19" t="s">
        <v>58</v>
      </c>
      <c r="B19" s="4">
        <v>1459</v>
      </c>
      <c r="C19" s="4">
        <v>1499</v>
      </c>
      <c r="D19" s="1">
        <v>0.03</v>
      </c>
    </row>
    <row r="20" spans="1:4" x14ac:dyDescent="0.35">
      <c r="A20" t="s">
        <v>59</v>
      </c>
      <c r="B20" s="4">
        <v>799</v>
      </c>
      <c r="C20" s="4">
        <v>1343</v>
      </c>
      <c r="D20" s="1">
        <v>0.41</v>
      </c>
    </row>
    <row r="21" spans="1:4" x14ac:dyDescent="0.35">
      <c r="A21" t="s">
        <v>60</v>
      </c>
      <c r="B21" s="4">
        <v>499</v>
      </c>
      <c r="C21" s="4">
        <v>900</v>
      </c>
      <c r="D21" s="1">
        <v>0.45</v>
      </c>
    </row>
    <row r="22" spans="1:4" x14ac:dyDescent="0.35">
      <c r="A22" t="s">
        <v>61</v>
      </c>
      <c r="B22" s="4">
        <v>699</v>
      </c>
      <c r="C22" s="4">
        <v>1343</v>
      </c>
      <c r="D22" s="1">
        <v>0.48</v>
      </c>
    </row>
    <row r="23" spans="1:4" x14ac:dyDescent="0.35">
      <c r="A23" t="s">
        <v>62</v>
      </c>
      <c r="B23" s="4">
        <v>799</v>
      </c>
      <c r="C23" s="4">
        <v>1567</v>
      </c>
      <c r="D23" s="1">
        <v>0.49</v>
      </c>
    </row>
    <row r="24" spans="1:4" x14ac:dyDescent="0.35">
      <c r="A24" t="s">
        <v>63</v>
      </c>
      <c r="B24" s="4">
        <v>2799</v>
      </c>
      <c r="C24" s="4">
        <v>3810</v>
      </c>
      <c r="D24" s="1">
        <v>0.27</v>
      </c>
    </row>
    <row r="25" spans="1:4" x14ac:dyDescent="0.35">
      <c r="A25" t="s">
        <v>60</v>
      </c>
      <c r="B25" s="4">
        <v>399</v>
      </c>
      <c r="C25" s="4">
        <v>896</v>
      </c>
      <c r="D25" s="1">
        <v>0.55000000000000004</v>
      </c>
    </row>
    <row r="26" spans="1:4" x14ac:dyDescent="0.35">
      <c r="A26" t="s">
        <v>79</v>
      </c>
      <c r="B26" s="4">
        <v>790</v>
      </c>
      <c r="C26" s="4">
        <v>1485</v>
      </c>
      <c r="D26" s="1">
        <v>0.47</v>
      </c>
    </row>
    <row r="27" spans="1:4" x14ac:dyDescent="0.35">
      <c r="A27" t="s">
        <v>80</v>
      </c>
      <c r="B27" s="4">
        <v>690</v>
      </c>
      <c r="C27" s="4">
        <v>1200</v>
      </c>
      <c r="D27" s="1">
        <v>0.43</v>
      </c>
    </row>
    <row r="28" spans="1:4" x14ac:dyDescent="0.35">
      <c r="A28" t="s">
        <v>81</v>
      </c>
      <c r="B28" s="4">
        <v>1732</v>
      </c>
      <c r="C28" s="4">
        <v>1799</v>
      </c>
      <c r="D28" s="1">
        <v>0.04</v>
      </c>
    </row>
    <row r="29" spans="1:4" x14ac:dyDescent="0.35">
      <c r="A29" t="s">
        <v>82</v>
      </c>
      <c r="B29" s="4">
        <v>230</v>
      </c>
      <c r="C29" s="4">
        <v>450</v>
      </c>
      <c r="D29" s="1">
        <v>0.49</v>
      </c>
    </row>
    <row r="30" spans="1:4" x14ac:dyDescent="0.35">
      <c r="A30" t="s">
        <v>85</v>
      </c>
      <c r="B30" s="4">
        <v>1460</v>
      </c>
      <c r="C30" s="4">
        <v>2290</v>
      </c>
      <c r="D30" s="1">
        <v>0.36</v>
      </c>
    </row>
    <row r="31" spans="1:4" x14ac:dyDescent="0.35">
      <c r="A31" t="s">
        <v>86</v>
      </c>
      <c r="B31" s="4">
        <v>1666</v>
      </c>
      <c r="C31" s="4">
        <v>1699</v>
      </c>
      <c r="D31" s="1">
        <v>0.02</v>
      </c>
    </row>
    <row r="32" spans="1:4" x14ac:dyDescent="0.35">
      <c r="A32" t="s">
        <v>48</v>
      </c>
      <c r="B32" s="4">
        <v>610</v>
      </c>
      <c r="C32" s="4">
        <v>1060</v>
      </c>
      <c r="D32" s="1">
        <v>0.42</v>
      </c>
    </row>
    <row r="33" spans="1:4" x14ac:dyDescent="0.35">
      <c r="A33" t="s">
        <v>54</v>
      </c>
      <c r="B33" s="4">
        <v>176</v>
      </c>
      <c r="C33" s="4">
        <v>345</v>
      </c>
      <c r="D33" s="1">
        <v>0.49</v>
      </c>
    </row>
    <row r="34" spans="1:4" x14ac:dyDescent="0.35">
      <c r="A34" t="s">
        <v>88</v>
      </c>
      <c r="B34" s="4">
        <v>1466</v>
      </c>
      <c r="C34" s="4">
        <v>1699</v>
      </c>
      <c r="D34" s="1">
        <v>0.14000000000000001</v>
      </c>
    </row>
    <row r="35" spans="1:4" x14ac:dyDescent="0.35">
      <c r="A35" t="s">
        <v>89</v>
      </c>
      <c r="B35" s="4">
        <v>274</v>
      </c>
      <c r="C35" s="4">
        <v>537</v>
      </c>
      <c r="D35" s="1">
        <v>0.49</v>
      </c>
    </row>
    <row r="36" spans="1:4" x14ac:dyDescent="0.35">
      <c r="A36" t="s">
        <v>90</v>
      </c>
      <c r="B36" s="4">
        <v>799</v>
      </c>
      <c r="C36" s="4">
        <v>900</v>
      </c>
      <c r="D36" s="1">
        <v>0.11</v>
      </c>
    </row>
    <row r="37" spans="1:4" x14ac:dyDescent="0.35">
      <c r="A37" t="s">
        <v>62</v>
      </c>
      <c r="B37" s="4">
        <v>657</v>
      </c>
      <c r="C37" s="4">
        <v>1288</v>
      </c>
      <c r="D37" s="1">
        <v>0.49</v>
      </c>
    </row>
    <row r="38" spans="1:4" x14ac:dyDescent="0.35">
      <c r="A38" t="s">
        <v>91</v>
      </c>
      <c r="B38" s="4">
        <v>1468</v>
      </c>
      <c r="C38" s="4">
        <v>1699</v>
      </c>
      <c r="D38" s="1">
        <v>0.14000000000000001</v>
      </c>
    </row>
    <row r="39" spans="1:4" x14ac:dyDescent="0.35">
      <c r="A39" t="s">
        <v>92</v>
      </c>
      <c r="B39" s="4">
        <v>630</v>
      </c>
      <c r="C39" s="4">
        <v>1100</v>
      </c>
      <c r="D39" s="1">
        <v>0.43</v>
      </c>
    </row>
    <row r="40" spans="1:4" x14ac:dyDescent="0.35">
      <c r="A40" t="s">
        <v>93</v>
      </c>
      <c r="B40" s="4">
        <v>850</v>
      </c>
      <c r="C40" s="4">
        <v>1700</v>
      </c>
      <c r="D40" s="1">
        <v>0.5</v>
      </c>
    </row>
    <row r="41" spans="1:4" x14ac:dyDescent="0.35">
      <c r="A41" t="s">
        <v>94</v>
      </c>
      <c r="B41" s="4">
        <v>1300</v>
      </c>
      <c r="C41" s="4">
        <v>2500</v>
      </c>
      <c r="D41" s="1">
        <v>0.48</v>
      </c>
    </row>
    <row r="42" spans="1:4" x14ac:dyDescent="0.35">
      <c r="A42" t="s">
        <v>95</v>
      </c>
      <c r="B42" s="4">
        <v>105</v>
      </c>
      <c r="C42" s="4">
        <v>200</v>
      </c>
      <c r="D42" s="1">
        <v>0.48</v>
      </c>
    </row>
    <row r="43" spans="1:4" x14ac:dyDescent="0.35">
      <c r="A43" t="s">
        <v>96</v>
      </c>
      <c r="B43" s="4">
        <v>899</v>
      </c>
      <c r="C43" s="4">
        <v>1699</v>
      </c>
      <c r="D43" s="1">
        <v>0.47</v>
      </c>
    </row>
    <row r="44" spans="1:4" x14ac:dyDescent="0.35">
      <c r="A44" t="s">
        <v>96</v>
      </c>
      <c r="B44" s="4">
        <v>899</v>
      </c>
      <c r="C44" s="4">
        <v>1699</v>
      </c>
      <c r="D44" s="1">
        <v>0.47</v>
      </c>
    </row>
    <row r="45" spans="1:4" x14ac:dyDescent="0.35">
      <c r="A45" t="s">
        <v>97</v>
      </c>
      <c r="B45" s="4">
        <v>1200</v>
      </c>
      <c r="C45" s="4">
        <v>2400</v>
      </c>
      <c r="D45" s="1">
        <v>0.5</v>
      </c>
    </row>
    <row r="46" spans="1:4" x14ac:dyDescent="0.35">
      <c r="A46" t="s">
        <v>98</v>
      </c>
      <c r="B46" s="4">
        <v>1526</v>
      </c>
      <c r="C46" s="4">
        <v>1660</v>
      </c>
      <c r="D46" s="1">
        <v>0.08</v>
      </c>
    </row>
    <row r="47" spans="1:4" x14ac:dyDescent="0.35">
      <c r="A47" t="s">
        <v>99</v>
      </c>
      <c r="B47" s="4">
        <v>1462</v>
      </c>
      <c r="C47" s="4">
        <v>1499</v>
      </c>
      <c r="D47" s="1">
        <v>0.02</v>
      </c>
    </row>
    <row r="48" spans="1:4" x14ac:dyDescent="0.35">
      <c r="A48" t="s">
        <v>100</v>
      </c>
      <c r="B48" s="4">
        <v>248</v>
      </c>
      <c r="C48" s="4">
        <v>486</v>
      </c>
      <c r="D48" s="1">
        <v>0.49</v>
      </c>
    </row>
    <row r="49" spans="1:4" x14ac:dyDescent="0.35">
      <c r="A49" t="s">
        <v>101</v>
      </c>
      <c r="B49" s="4">
        <v>3546</v>
      </c>
      <c r="C49" s="4">
        <v>3699</v>
      </c>
      <c r="D49" s="1">
        <v>0.04</v>
      </c>
    </row>
    <row r="50" spans="1:4" x14ac:dyDescent="0.35">
      <c r="A50" t="s">
        <v>102</v>
      </c>
      <c r="B50" s="4">
        <v>525</v>
      </c>
      <c r="C50" s="4">
        <v>1029</v>
      </c>
      <c r="D50" s="1">
        <v>0.49</v>
      </c>
    </row>
    <row r="51" spans="1:4" x14ac:dyDescent="0.35">
      <c r="A51" t="s">
        <v>103</v>
      </c>
      <c r="B51" s="4">
        <v>1080</v>
      </c>
      <c r="C51" s="4">
        <v>1874</v>
      </c>
      <c r="D51" s="1">
        <v>0.42</v>
      </c>
    </row>
    <row r="52" spans="1:4" x14ac:dyDescent="0.35">
      <c r="A52" t="s">
        <v>105</v>
      </c>
      <c r="B52" s="4">
        <v>1420</v>
      </c>
      <c r="C52" s="4">
        <v>2420</v>
      </c>
      <c r="D52" s="1">
        <v>0.41</v>
      </c>
    </row>
    <row r="53" spans="1:4" x14ac:dyDescent="0.35">
      <c r="A53" t="s">
        <v>106</v>
      </c>
      <c r="B53" s="4">
        <v>1875</v>
      </c>
      <c r="C53" s="4">
        <v>1899</v>
      </c>
      <c r="D53" s="1">
        <v>0.01</v>
      </c>
    </row>
    <row r="54" spans="1:4" x14ac:dyDescent="0.35">
      <c r="A54" t="s">
        <v>107</v>
      </c>
      <c r="B54" s="4">
        <v>198</v>
      </c>
      <c r="C54" s="4">
        <v>260</v>
      </c>
      <c r="D54" s="1">
        <v>0.24</v>
      </c>
    </row>
    <row r="55" spans="1:4" x14ac:dyDescent="0.35">
      <c r="A55" t="s">
        <v>108</v>
      </c>
      <c r="B55" s="4">
        <v>1150</v>
      </c>
      <c r="C55" s="4">
        <v>1737</v>
      </c>
      <c r="D55" s="1">
        <v>0.34</v>
      </c>
    </row>
    <row r="56" spans="1:4" x14ac:dyDescent="0.35">
      <c r="A56" t="s">
        <v>109</v>
      </c>
      <c r="B56" s="4">
        <v>1190</v>
      </c>
      <c r="C56" s="4">
        <v>1810</v>
      </c>
      <c r="D56" s="1">
        <v>0.34</v>
      </c>
    </row>
    <row r="57" spans="1:4" x14ac:dyDescent="0.35">
      <c r="A57" t="s">
        <v>110</v>
      </c>
      <c r="B57" s="4">
        <v>1658</v>
      </c>
      <c r="C57" s="4">
        <v>1699</v>
      </c>
      <c r="D57" s="1">
        <v>0.02</v>
      </c>
    </row>
    <row r="58" spans="1:4" x14ac:dyDescent="0.35">
      <c r="A58" t="s">
        <v>111</v>
      </c>
      <c r="B58" s="4">
        <v>1768</v>
      </c>
      <c r="C58" s="4">
        <v>1799</v>
      </c>
      <c r="D58" s="1">
        <v>0.02</v>
      </c>
    </row>
    <row r="59" spans="1:4" x14ac:dyDescent="0.35">
      <c r="A59" t="s">
        <v>112</v>
      </c>
      <c r="B59" s="4">
        <v>199</v>
      </c>
      <c r="C59" s="4">
        <v>553</v>
      </c>
      <c r="D59" s="1">
        <v>0.64</v>
      </c>
    </row>
    <row r="60" spans="1:4" x14ac:dyDescent="0.35">
      <c r="A60" t="s">
        <v>114</v>
      </c>
      <c r="B60" s="4">
        <v>169</v>
      </c>
      <c r="C60" s="4">
        <v>320</v>
      </c>
      <c r="D60" s="1">
        <v>0.47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3938-D020-4EBD-AD8C-7B4718DCEC7D}">
  <dimension ref="A1:K8"/>
  <sheetViews>
    <sheetView workbookViewId="0">
      <selection activeCell="A28" sqref="A28"/>
    </sheetView>
  </sheetViews>
  <sheetFormatPr defaultRowHeight="14.5" x14ac:dyDescent="0.35"/>
  <cols>
    <col min="1" max="1" width="74.54296875" bestFit="1" customWidth="1"/>
    <col min="2" max="2" width="12" bestFit="1" customWidth="1"/>
    <col min="3" max="3" width="9.6328125" bestFit="1" customWidth="1"/>
    <col min="4" max="4" width="8.26953125" bestFit="1" customWidth="1"/>
    <col min="6" max="7" width="7.1796875" bestFit="1" customWidth="1"/>
    <col min="8" max="8" width="7.36328125" bestFit="1" customWidth="1"/>
    <col min="9" max="9" width="23.26953125" bestFit="1" customWidth="1"/>
    <col min="10" max="10" width="15.54296875" bestFit="1" customWidth="1"/>
    <col min="11" max="11" width="16.453125" bestFit="1" customWidth="1"/>
  </cols>
  <sheetData>
    <row r="1" spans="1:11" x14ac:dyDescent="0.35">
      <c r="A1" s="2" t="s">
        <v>0</v>
      </c>
      <c r="B1" s="2" t="s">
        <v>1</v>
      </c>
      <c r="C1" s="3" t="s">
        <v>2</v>
      </c>
      <c r="D1" s="2" t="s">
        <v>3</v>
      </c>
      <c r="E1" s="2" t="s">
        <v>123</v>
      </c>
      <c r="F1" s="2" t="s">
        <v>4</v>
      </c>
      <c r="G1" s="2" t="s">
        <v>4</v>
      </c>
      <c r="H1" s="2" t="s">
        <v>5</v>
      </c>
      <c r="I1" s="2" t="s">
        <v>115</v>
      </c>
      <c r="J1" s="2" t="s">
        <v>116</v>
      </c>
      <c r="K1" s="2" t="s">
        <v>117</v>
      </c>
    </row>
    <row r="2" spans="1:11" x14ac:dyDescent="0.35">
      <c r="A2" t="s">
        <v>21</v>
      </c>
      <c r="B2" s="4">
        <v>332</v>
      </c>
      <c r="C2" s="4">
        <v>684</v>
      </c>
      <c r="D2" s="1">
        <v>0.51</v>
      </c>
      <c r="E2" s="8">
        <v>0.51</v>
      </c>
      <c r="F2">
        <v>-2</v>
      </c>
      <c r="G2">
        <f t="shared" ref="G2:G8" si="0">F2*$L$2</f>
        <v>0</v>
      </c>
      <c r="H2">
        <v>5</v>
      </c>
      <c r="I2">
        <f t="shared" ref="I2:I8" si="1">ABS((C2-B2))</f>
        <v>352</v>
      </c>
      <c r="J2" t="str">
        <f t="shared" ref="J2:J8" si="2">IF(H2&lt;3,"Poor",IF(H2&lt;4,"Average","Excellent"))</f>
        <v>Excellent</v>
      </c>
      <c r="K2" t="str">
        <f t="shared" ref="K2:K8" si="3">IF(D2&lt;20%,"Low Discount",IF(D2&lt;40%,"Medium Discount","High Discount"))</f>
        <v>High Discount</v>
      </c>
    </row>
    <row r="3" spans="1:11" x14ac:dyDescent="0.35">
      <c r="A3" t="s">
        <v>22</v>
      </c>
      <c r="B3" s="4">
        <v>195</v>
      </c>
      <c r="C3" s="4">
        <v>360</v>
      </c>
      <c r="D3" s="1">
        <v>0.46</v>
      </c>
      <c r="E3" s="8">
        <v>0.46</v>
      </c>
      <c r="F3">
        <v>-2</v>
      </c>
      <c r="G3">
        <f t="shared" si="0"/>
        <v>0</v>
      </c>
      <c r="H3">
        <v>5</v>
      </c>
      <c r="I3">
        <f t="shared" si="1"/>
        <v>165</v>
      </c>
      <c r="J3" t="str">
        <f t="shared" si="2"/>
        <v>Excellent</v>
      </c>
      <c r="K3" t="str">
        <f t="shared" si="3"/>
        <v>High Discount</v>
      </c>
    </row>
    <row r="4" spans="1:11" x14ac:dyDescent="0.35">
      <c r="A4" t="s">
        <v>23</v>
      </c>
      <c r="B4" s="4">
        <v>2025</v>
      </c>
      <c r="C4" s="4">
        <v>3971</v>
      </c>
      <c r="D4" s="1">
        <v>0.49</v>
      </c>
      <c r="E4" s="8">
        <v>0.49</v>
      </c>
      <c r="F4">
        <v>-3</v>
      </c>
      <c r="G4">
        <f t="shared" si="0"/>
        <v>0</v>
      </c>
      <c r="H4">
        <v>5</v>
      </c>
      <c r="I4">
        <f t="shared" si="1"/>
        <v>1946</v>
      </c>
      <c r="J4" t="str">
        <f t="shared" si="2"/>
        <v>Excellent</v>
      </c>
      <c r="K4" t="str">
        <f t="shared" si="3"/>
        <v>High Discount</v>
      </c>
    </row>
    <row r="5" spans="1:11" x14ac:dyDescent="0.35">
      <c r="A5" t="s">
        <v>41</v>
      </c>
      <c r="B5" s="4">
        <v>1620</v>
      </c>
      <c r="C5" s="4">
        <v>2690</v>
      </c>
      <c r="D5" s="1">
        <v>0.4</v>
      </c>
      <c r="E5" s="8">
        <v>0.4</v>
      </c>
      <c r="F5">
        <v>-1</v>
      </c>
      <c r="G5">
        <f t="shared" si="0"/>
        <v>0</v>
      </c>
      <c r="H5">
        <v>5</v>
      </c>
      <c r="I5">
        <f t="shared" si="1"/>
        <v>1070</v>
      </c>
      <c r="J5" t="str">
        <f t="shared" si="2"/>
        <v>Excellent</v>
      </c>
      <c r="K5" t="str">
        <f t="shared" si="3"/>
        <v>High Discount</v>
      </c>
    </row>
    <row r="6" spans="1:11" x14ac:dyDescent="0.35">
      <c r="A6" t="s">
        <v>42</v>
      </c>
      <c r="B6" s="4">
        <v>171</v>
      </c>
      <c r="C6" s="4">
        <v>360</v>
      </c>
      <c r="D6" s="1">
        <v>0.53</v>
      </c>
      <c r="E6" s="8">
        <v>0.53</v>
      </c>
      <c r="F6">
        <v>-2</v>
      </c>
      <c r="G6">
        <f t="shared" si="0"/>
        <v>0</v>
      </c>
      <c r="H6">
        <v>5</v>
      </c>
      <c r="I6">
        <f t="shared" si="1"/>
        <v>189</v>
      </c>
      <c r="J6" t="str">
        <f t="shared" si="2"/>
        <v>Excellent</v>
      </c>
      <c r="K6" t="str">
        <f t="shared" si="3"/>
        <v>High Discount</v>
      </c>
    </row>
    <row r="7" spans="1:11" x14ac:dyDescent="0.35">
      <c r="A7" t="s">
        <v>84</v>
      </c>
      <c r="B7" s="4">
        <v>979</v>
      </c>
      <c r="C7" s="4">
        <v>1920</v>
      </c>
      <c r="D7" s="1">
        <v>0.49</v>
      </c>
      <c r="E7" s="8">
        <v>0.49</v>
      </c>
      <c r="F7">
        <v>-1</v>
      </c>
      <c r="G7">
        <f t="shared" si="0"/>
        <v>0</v>
      </c>
      <c r="H7">
        <v>5</v>
      </c>
      <c r="I7">
        <f t="shared" si="1"/>
        <v>941</v>
      </c>
      <c r="J7" t="str">
        <f t="shared" si="2"/>
        <v>Excellent</v>
      </c>
      <c r="K7" t="str">
        <f t="shared" si="3"/>
        <v>High Discount</v>
      </c>
    </row>
    <row r="8" spans="1:11" x14ac:dyDescent="0.35">
      <c r="A8" t="s">
        <v>104</v>
      </c>
      <c r="B8" s="4">
        <v>3640</v>
      </c>
      <c r="C8" s="4">
        <v>4588</v>
      </c>
      <c r="D8" s="1">
        <v>0.21</v>
      </c>
      <c r="E8" s="8">
        <v>0.21</v>
      </c>
      <c r="F8">
        <v>-1</v>
      </c>
      <c r="G8">
        <f t="shared" si="0"/>
        <v>0</v>
      </c>
      <c r="H8">
        <v>5</v>
      </c>
      <c r="I8">
        <f t="shared" si="1"/>
        <v>948</v>
      </c>
      <c r="J8" t="str">
        <f t="shared" si="2"/>
        <v>Excellent</v>
      </c>
      <c r="K8" t="str">
        <f t="shared" si="3"/>
        <v>Medium Discount</v>
      </c>
    </row>
  </sheetData>
  <sortState xmlns:xlrd2="http://schemas.microsoft.com/office/spreadsheetml/2017/richdata2" ref="A2:K8">
    <sortCondition descending="1" ref="H2:H8"/>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7D00-B547-4E57-91B2-EB348D3FB0EC}">
  <dimension ref="A1:L11"/>
  <sheetViews>
    <sheetView topLeftCell="C10" workbookViewId="0">
      <selection activeCell="I31" sqref="I31"/>
    </sheetView>
  </sheetViews>
  <sheetFormatPr defaultRowHeight="14.5" x14ac:dyDescent="0.35"/>
  <cols>
    <col min="1" max="1" width="74.54296875" bestFit="1" customWidth="1"/>
    <col min="2" max="2" width="12" bestFit="1" customWidth="1"/>
    <col min="3" max="3" width="9.6328125" bestFit="1" customWidth="1"/>
    <col min="4" max="4" width="8.26953125" bestFit="1" customWidth="1"/>
    <col min="6" max="7" width="7.1796875" bestFit="1" customWidth="1"/>
    <col min="8" max="8" width="7.36328125" bestFit="1" customWidth="1"/>
    <col min="9" max="9" width="23.26953125" bestFit="1" customWidth="1"/>
    <col min="10" max="10" width="15.54296875" bestFit="1" customWidth="1"/>
    <col min="11" max="11" width="16.453125" bestFit="1" customWidth="1"/>
  </cols>
  <sheetData>
    <row r="1" spans="1:12" x14ac:dyDescent="0.35">
      <c r="A1" s="2" t="s">
        <v>0</v>
      </c>
      <c r="B1" s="2" t="s">
        <v>1</v>
      </c>
      <c r="C1" s="3" t="s">
        <v>2</v>
      </c>
      <c r="D1" s="2" t="s">
        <v>3</v>
      </c>
      <c r="E1" s="2" t="s">
        <v>123</v>
      </c>
      <c r="F1" s="2" t="s">
        <v>4</v>
      </c>
      <c r="G1" s="2" t="s">
        <v>4</v>
      </c>
      <c r="H1" s="2" t="s">
        <v>5</v>
      </c>
      <c r="I1" s="2" t="s">
        <v>115</v>
      </c>
      <c r="J1" s="2" t="s">
        <v>116</v>
      </c>
      <c r="K1" s="2" t="s">
        <v>117</v>
      </c>
    </row>
    <row r="2" spans="1:12" x14ac:dyDescent="0.35">
      <c r="A2" t="s">
        <v>14</v>
      </c>
      <c r="B2" s="4">
        <v>1274</v>
      </c>
      <c r="C2" s="4">
        <v>2800</v>
      </c>
      <c r="D2" s="1">
        <v>0.55000000000000004</v>
      </c>
      <c r="E2" s="8">
        <v>0.55000000000000004</v>
      </c>
      <c r="F2">
        <v>-5</v>
      </c>
      <c r="G2">
        <v>5</v>
      </c>
      <c r="H2">
        <v>4.8</v>
      </c>
      <c r="I2">
        <f t="shared" ref="I2:I11" si="0">ABS((C2-B2))</f>
        <v>1526</v>
      </c>
      <c r="J2" t="str">
        <f t="shared" ref="J2:J11" si="1">IF(H2&lt;3,"Poor",IF(H2&lt;4,"Average","Excellent"))</f>
        <v>Excellent</v>
      </c>
      <c r="K2" t="str">
        <f t="shared" ref="K2:K11" si="2">IF(D2&lt;20%,"Low Discount",IF(D2&lt;40%,"Medium Discount","High Discount"))</f>
        <v>High Discount</v>
      </c>
      <c r="L2">
        <v>-1</v>
      </c>
    </row>
    <row r="3" spans="1:12" x14ac:dyDescent="0.35">
      <c r="A3" t="s">
        <v>66</v>
      </c>
      <c r="B3" s="4">
        <v>2115</v>
      </c>
      <c r="C3" s="4">
        <v>4700</v>
      </c>
      <c r="D3" s="1">
        <v>0.55000000000000004</v>
      </c>
      <c r="E3" s="8">
        <v>0.55000000000000004</v>
      </c>
      <c r="F3">
        <v>-13</v>
      </c>
      <c r="G3">
        <v>13</v>
      </c>
      <c r="H3">
        <v>2.1</v>
      </c>
      <c r="I3">
        <f t="shared" si="0"/>
        <v>2585</v>
      </c>
      <c r="J3" t="str">
        <f t="shared" si="1"/>
        <v>Poor</v>
      </c>
      <c r="K3" t="str">
        <f t="shared" si="2"/>
        <v>High Discount</v>
      </c>
    </row>
    <row r="4" spans="1:12" x14ac:dyDescent="0.35">
      <c r="A4" t="s">
        <v>30</v>
      </c>
      <c r="B4" s="4">
        <v>2048</v>
      </c>
      <c r="C4" s="4">
        <v>4500</v>
      </c>
      <c r="D4" s="1">
        <v>0.54</v>
      </c>
      <c r="E4" s="8">
        <v>0.54</v>
      </c>
      <c r="F4">
        <v>-7</v>
      </c>
      <c r="G4">
        <v>7</v>
      </c>
      <c r="H4">
        <v>4.3</v>
      </c>
      <c r="I4">
        <f t="shared" si="0"/>
        <v>2452</v>
      </c>
      <c r="J4" t="str">
        <f t="shared" si="1"/>
        <v>Excellent</v>
      </c>
      <c r="K4" t="str">
        <f t="shared" si="2"/>
        <v>High Discount</v>
      </c>
    </row>
    <row r="5" spans="1:12" x14ac:dyDescent="0.35">
      <c r="A5" t="s">
        <v>65</v>
      </c>
      <c r="B5" s="4">
        <v>458</v>
      </c>
      <c r="C5" s="4">
        <v>986</v>
      </c>
      <c r="D5" s="1">
        <v>0.54</v>
      </c>
      <c r="E5" s="8">
        <v>0.54</v>
      </c>
      <c r="F5">
        <v>-10</v>
      </c>
      <c r="G5">
        <v>10</v>
      </c>
      <c r="H5">
        <v>3</v>
      </c>
      <c r="I5">
        <f t="shared" si="0"/>
        <v>528</v>
      </c>
      <c r="J5" t="str">
        <f t="shared" si="1"/>
        <v>Average</v>
      </c>
      <c r="K5" t="str">
        <f t="shared" si="2"/>
        <v>High Discount</v>
      </c>
    </row>
    <row r="6" spans="1:12" x14ac:dyDescent="0.35">
      <c r="A6" t="s">
        <v>26</v>
      </c>
      <c r="B6" s="4">
        <v>38</v>
      </c>
      <c r="C6" s="4">
        <v>80</v>
      </c>
      <c r="D6" s="1">
        <v>0.53</v>
      </c>
      <c r="E6" s="8">
        <v>0.53</v>
      </c>
      <c r="F6">
        <v>-13</v>
      </c>
      <c r="G6">
        <v>13</v>
      </c>
      <c r="H6">
        <v>3.3</v>
      </c>
      <c r="I6">
        <f t="shared" si="0"/>
        <v>42</v>
      </c>
      <c r="J6" t="str">
        <f t="shared" si="1"/>
        <v>Average</v>
      </c>
      <c r="K6" t="str">
        <f t="shared" si="2"/>
        <v>High Discount</v>
      </c>
    </row>
    <row r="7" spans="1:12" x14ac:dyDescent="0.35">
      <c r="A7" t="s">
        <v>42</v>
      </c>
      <c r="B7" s="4">
        <v>171</v>
      </c>
      <c r="C7" s="4">
        <v>360</v>
      </c>
      <c r="D7" s="1">
        <v>0.53</v>
      </c>
      <c r="E7" s="8">
        <v>0.53</v>
      </c>
      <c r="F7">
        <v>-2</v>
      </c>
      <c r="G7">
        <v>2</v>
      </c>
      <c r="H7">
        <v>5</v>
      </c>
      <c r="I7">
        <f t="shared" si="0"/>
        <v>189</v>
      </c>
      <c r="J7" t="str">
        <f t="shared" si="1"/>
        <v>Excellent</v>
      </c>
      <c r="K7" t="str">
        <f t="shared" si="2"/>
        <v>High Discount</v>
      </c>
    </row>
    <row r="8" spans="1:12" x14ac:dyDescent="0.35">
      <c r="A8" t="s">
        <v>36</v>
      </c>
      <c r="B8" s="4">
        <v>185</v>
      </c>
      <c r="C8" s="4">
        <v>382</v>
      </c>
      <c r="D8" s="1">
        <v>0.52</v>
      </c>
      <c r="E8" s="8">
        <v>0.52</v>
      </c>
      <c r="F8">
        <v>-9</v>
      </c>
      <c r="G8">
        <v>9</v>
      </c>
      <c r="H8">
        <v>4.3</v>
      </c>
      <c r="I8">
        <f t="shared" si="0"/>
        <v>197</v>
      </c>
      <c r="J8" t="str">
        <f t="shared" si="1"/>
        <v>Excellent</v>
      </c>
      <c r="K8" t="str">
        <f t="shared" si="2"/>
        <v>High Discount</v>
      </c>
    </row>
    <row r="9" spans="1:12" x14ac:dyDescent="0.35">
      <c r="A9" t="s">
        <v>68</v>
      </c>
      <c r="B9" s="4">
        <v>325</v>
      </c>
      <c r="C9" s="4">
        <v>680</v>
      </c>
      <c r="D9" s="1">
        <v>0.52</v>
      </c>
      <c r="E9" s="8">
        <v>0.52</v>
      </c>
      <c r="F9">
        <v>-15</v>
      </c>
      <c r="G9">
        <v>15</v>
      </c>
      <c r="H9">
        <v>2.7</v>
      </c>
      <c r="I9">
        <f t="shared" si="0"/>
        <v>355</v>
      </c>
      <c r="J9" t="str">
        <f t="shared" si="1"/>
        <v>Poor</v>
      </c>
      <c r="K9" t="str">
        <f t="shared" si="2"/>
        <v>High Discount</v>
      </c>
    </row>
    <row r="10" spans="1:12" x14ac:dyDescent="0.35">
      <c r="A10" t="s">
        <v>21</v>
      </c>
      <c r="B10" s="4">
        <v>332</v>
      </c>
      <c r="C10" s="4">
        <v>684</v>
      </c>
      <c r="D10" s="1">
        <v>0.51</v>
      </c>
      <c r="E10" s="8">
        <v>0.51</v>
      </c>
      <c r="F10">
        <v>-2</v>
      </c>
      <c r="G10">
        <v>2</v>
      </c>
      <c r="H10">
        <v>5</v>
      </c>
      <c r="I10">
        <f t="shared" si="0"/>
        <v>352</v>
      </c>
      <c r="J10" t="str">
        <f t="shared" si="1"/>
        <v>Excellent</v>
      </c>
      <c r="K10" t="str">
        <f t="shared" si="2"/>
        <v>High Discount</v>
      </c>
    </row>
    <row r="11" spans="1:12" x14ac:dyDescent="0.35">
      <c r="A11" t="s">
        <v>71</v>
      </c>
      <c r="B11" s="4">
        <v>1000</v>
      </c>
      <c r="C11" s="4">
        <v>2000</v>
      </c>
      <c r="D11" s="1">
        <v>0.5</v>
      </c>
      <c r="E11" s="8">
        <v>0.5</v>
      </c>
      <c r="F11">
        <v>-7</v>
      </c>
      <c r="G11">
        <v>7</v>
      </c>
      <c r="H11">
        <v>2.2999999999999998</v>
      </c>
      <c r="I11">
        <f t="shared" si="0"/>
        <v>1000</v>
      </c>
      <c r="J11" t="str">
        <f t="shared" si="1"/>
        <v>Poor</v>
      </c>
      <c r="K11" t="str">
        <f t="shared" si="2"/>
        <v>High Discount</v>
      </c>
    </row>
  </sheetData>
  <sortState xmlns:xlrd2="http://schemas.microsoft.com/office/spreadsheetml/2017/richdata2" ref="A2:K11">
    <sortCondition descending="1" ref="E2:E11"/>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9425-F677-4ED4-861B-C4A391C46C26}">
  <dimension ref="A1:L11"/>
  <sheetViews>
    <sheetView topLeftCell="A4" workbookViewId="0">
      <selection sqref="A1:K11"/>
    </sheetView>
  </sheetViews>
  <sheetFormatPr defaultRowHeight="14.5" x14ac:dyDescent="0.35"/>
  <cols>
    <col min="1" max="1" width="71.26953125" customWidth="1"/>
    <col min="2" max="2" width="18.54296875" bestFit="1" customWidth="1"/>
    <col min="3" max="3" width="18.54296875" style="4" bestFit="1" customWidth="1"/>
    <col min="4" max="5" width="14" customWidth="1"/>
    <col min="6" max="6" width="9.54296875" bestFit="1" customWidth="1"/>
    <col min="7" max="7" width="9.54296875" customWidth="1"/>
    <col min="8" max="8" width="10.26953125" bestFit="1" customWidth="1"/>
    <col min="9" max="9" width="23.26953125" bestFit="1" customWidth="1"/>
    <col min="10" max="10" width="15.54296875" bestFit="1" customWidth="1"/>
    <col min="11" max="11" width="20.81640625" customWidth="1"/>
    <col min="12" max="12" width="13.54296875" customWidth="1"/>
  </cols>
  <sheetData>
    <row r="1" spans="1:12" s="2" customFormat="1" x14ac:dyDescent="0.35">
      <c r="A1" s="2" t="s">
        <v>0</v>
      </c>
      <c r="B1" s="2" t="s">
        <v>1</v>
      </c>
      <c r="C1" s="12" t="s">
        <v>2</v>
      </c>
      <c r="D1" s="2" t="s">
        <v>3</v>
      </c>
      <c r="E1" s="2" t="s">
        <v>123</v>
      </c>
      <c r="F1" s="2" t="s">
        <v>4</v>
      </c>
      <c r="G1" s="2" t="s">
        <v>4</v>
      </c>
      <c r="H1" s="2" t="s">
        <v>5</v>
      </c>
      <c r="I1" s="2" t="s">
        <v>115</v>
      </c>
      <c r="J1" s="2" t="s">
        <v>116</v>
      </c>
      <c r="K1" s="2" t="s">
        <v>117</v>
      </c>
    </row>
    <row r="2" spans="1:12" x14ac:dyDescent="0.35">
      <c r="A2" t="s">
        <v>67</v>
      </c>
      <c r="B2" s="4">
        <v>445</v>
      </c>
      <c r="C2" s="4">
        <v>873</v>
      </c>
      <c r="D2" s="1">
        <v>0.49</v>
      </c>
      <c r="E2" s="8">
        <v>0.49</v>
      </c>
      <c r="F2">
        <v>-69</v>
      </c>
      <c r="G2">
        <f>F2*$L$2</f>
        <v>69</v>
      </c>
      <c r="H2">
        <v>2.8</v>
      </c>
      <c r="I2">
        <f>ABS((C2-B2))</f>
        <v>428</v>
      </c>
      <c r="J2" t="str">
        <f>IF(H2&lt;3,"Poor",IF(H2&lt;4,"Average","Excellent"))</f>
        <v>Poor</v>
      </c>
      <c r="K2" t="str">
        <f>IF(D2&lt;20%,"Low Discount",IF(D2&lt;40%,"Medium Discount","High Discount"))</f>
        <v>High Discount</v>
      </c>
      <c r="L2">
        <v>-1</v>
      </c>
    </row>
    <row r="3" spans="1:12" x14ac:dyDescent="0.35">
      <c r="A3" t="s">
        <v>12</v>
      </c>
      <c r="B3" s="4">
        <v>2319</v>
      </c>
      <c r="C3" s="4">
        <v>3032</v>
      </c>
      <c r="D3" s="1">
        <v>0.24</v>
      </c>
      <c r="E3" s="8">
        <v>0.24</v>
      </c>
      <c r="F3">
        <v>-55</v>
      </c>
      <c r="G3">
        <f>F3*$L$2</f>
        <v>55</v>
      </c>
      <c r="H3">
        <v>4.5999999999999996</v>
      </c>
      <c r="I3">
        <f>ABS((C3-B3))</f>
        <v>713</v>
      </c>
      <c r="J3" t="str">
        <f>IF(H3&lt;3,"Poor",IF(H3&lt;4,"Average","Excellent"))</f>
        <v>Excellent</v>
      </c>
      <c r="K3" t="str">
        <f>IF(D3&lt;20%,"Low Discount",IF(D3&lt;40%,"Medium Discount","High Discount"))</f>
        <v>Medium Discount</v>
      </c>
    </row>
    <row r="4" spans="1:12" x14ac:dyDescent="0.35">
      <c r="A4" t="s">
        <v>31</v>
      </c>
      <c r="B4" s="4">
        <v>420</v>
      </c>
      <c r="C4" s="4">
        <v>647</v>
      </c>
      <c r="D4" s="1">
        <v>0.35</v>
      </c>
      <c r="E4" s="8">
        <v>0.35</v>
      </c>
      <c r="F4">
        <v>-49</v>
      </c>
      <c r="G4">
        <f>F4*$L$2</f>
        <v>49</v>
      </c>
      <c r="H4">
        <v>4.5999999999999996</v>
      </c>
      <c r="I4">
        <f>ABS((C4-B4))</f>
        <v>227</v>
      </c>
      <c r="J4" t="str">
        <f>IF(H4&lt;3,"Poor",IF(H4&lt;4,"Average","Excellent"))</f>
        <v>Excellent</v>
      </c>
      <c r="K4" t="str">
        <f>IF(D4&lt;20%,"Low Discount",IF(D4&lt;40%,"Medium Discount","High Discount"))</f>
        <v>Medium Discount</v>
      </c>
    </row>
    <row r="5" spans="1:12" x14ac:dyDescent="0.35">
      <c r="A5" t="s">
        <v>25</v>
      </c>
      <c r="B5" s="4">
        <v>998</v>
      </c>
      <c r="C5" s="4">
        <v>1966</v>
      </c>
      <c r="D5" s="1">
        <v>0.49</v>
      </c>
      <c r="E5" s="8">
        <v>0.49</v>
      </c>
      <c r="F5">
        <v>-44</v>
      </c>
      <c r="G5">
        <f>F5*$L$2</f>
        <v>44</v>
      </c>
      <c r="H5">
        <v>4.5999999999999996</v>
      </c>
      <c r="I5">
        <f>ABS((C5-B5))</f>
        <v>968</v>
      </c>
      <c r="J5" t="str">
        <f>IF(H5&lt;3,"Poor",IF(H5&lt;4,"Average","Excellent"))</f>
        <v>Excellent</v>
      </c>
      <c r="K5" t="str">
        <f>IF(D5&lt;20%,"Low Discount",IF(D5&lt;40%,"Medium Discount","High Discount"))</f>
        <v>High Discount</v>
      </c>
    </row>
    <row r="6" spans="1:12" x14ac:dyDescent="0.35">
      <c r="A6" t="s">
        <v>43</v>
      </c>
      <c r="B6" s="4">
        <v>389</v>
      </c>
      <c r="C6" s="4">
        <v>656</v>
      </c>
      <c r="D6" s="1">
        <v>0.41</v>
      </c>
      <c r="E6" s="8">
        <v>0.41</v>
      </c>
      <c r="F6">
        <v>-36</v>
      </c>
      <c r="G6">
        <f>F6*$L$2</f>
        <v>36</v>
      </c>
      <c r="H6">
        <v>4.3</v>
      </c>
      <c r="I6">
        <f>ABS((C6-B6))</f>
        <v>267</v>
      </c>
      <c r="J6" t="str">
        <f>IF(H6&lt;3,"Poor",IF(H6&lt;4,"Average","Excellent"))</f>
        <v>Excellent</v>
      </c>
      <c r="K6" t="str">
        <f>IF(D6&lt;20%,"Low Discount",IF(D6&lt;40%,"Medium Discount","High Discount"))</f>
        <v>High Discount</v>
      </c>
    </row>
    <row r="7" spans="1:12" x14ac:dyDescent="0.35">
      <c r="A7" t="s">
        <v>40</v>
      </c>
      <c r="B7" s="4">
        <v>1980</v>
      </c>
      <c r="C7" s="4">
        <v>2699</v>
      </c>
      <c r="D7" s="1">
        <v>0.27</v>
      </c>
      <c r="E7" s="8">
        <v>0.27</v>
      </c>
      <c r="F7">
        <v>-32</v>
      </c>
      <c r="G7">
        <f>F7*$L$2</f>
        <v>32</v>
      </c>
      <c r="H7">
        <v>4.5</v>
      </c>
      <c r="I7">
        <f>ABS((C7-B7))</f>
        <v>719</v>
      </c>
      <c r="J7" t="str">
        <f>IF(H7&lt;3,"Poor",IF(H7&lt;4,"Average","Excellent"))</f>
        <v>Excellent</v>
      </c>
      <c r="K7" t="str">
        <f>IF(D7&lt;20%,"Low Discount",IF(D7&lt;40%,"Medium Discount","High Discount"))</f>
        <v>Medium Discount</v>
      </c>
    </row>
    <row r="8" spans="1:12" x14ac:dyDescent="0.35">
      <c r="A8" t="s">
        <v>8</v>
      </c>
      <c r="B8" s="4">
        <v>2199</v>
      </c>
      <c r="C8" s="4">
        <v>2923</v>
      </c>
      <c r="D8" s="1">
        <v>0.25</v>
      </c>
      <c r="E8" s="8">
        <v>0.25</v>
      </c>
      <c r="F8">
        <v>-24</v>
      </c>
      <c r="G8">
        <f>F8*$L$2</f>
        <v>24</v>
      </c>
      <c r="H8">
        <v>4.5999999999999996</v>
      </c>
      <c r="I8">
        <f>ABS((C8-B8))</f>
        <v>724</v>
      </c>
      <c r="J8" t="str">
        <f>IF(H8&lt;3,"Poor",IF(H8&lt;4,"Average","Excellent"))</f>
        <v>Excellent</v>
      </c>
      <c r="K8" t="str">
        <f>IF(D8&lt;20%,"Low Discount",IF(D8&lt;40%,"Medium Discount","High Discount"))</f>
        <v>Medium Discount</v>
      </c>
    </row>
    <row r="9" spans="1:12" x14ac:dyDescent="0.35">
      <c r="A9" t="s">
        <v>34</v>
      </c>
      <c r="B9" s="4">
        <v>1758</v>
      </c>
      <c r="C9" s="4">
        <v>2499</v>
      </c>
      <c r="D9" s="1">
        <v>0.3</v>
      </c>
      <c r="E9" s="8">
        <v>0.3</v>
      </c>
      <c r="F9">
        <v>-20</v>
      </c>
      <c r="G9">
        <f>F9*$L$2</f>
        <v>20</v>
      </c>
      <c r="H9">
        <v>4.0999999999999996</v>
      </c>
      <c r="I9">
        <f>ABS((C9-B9))</f>
        <v>741</v>
      </c>
      <c r="J9" t="str">
        <f>IF(H9&lt;3,"Poor",IF(H9&lt;4,"Average","Excellent"))</f>
        <v>Excellent</v>
      </c>
      <c r="K9" t="str">
        <f>IF(D9&lt;20%,"Low Discount",IF(D9&lt;40%,"Medium Discount","High Discount"))</f>
        <v>Medium Discount</v>
      </c>
    </row>
    <row r="10" spans="1:12" x14ac:dyDescent="0.35">
      <c r="A10" t="s">
        <v>39</v>
      </c>
      <c r="B10" s="4">
        <v>1940</v>
      </c>
      <c r="C10" s="4">
        <v>2650</v>
      </c>
      <c r="D10" s="1">
        <v>0.27</v>
      </c>
      <c r="E10" s="8">
        <v>0.27</v>
      </c>
      <c r="F10">
        <v>-20</v>
      </c>
      <c r="G10">
        <f>F10*$L$2</f>
        <v>20</v>
      </c>
      <c r="H10">
        <v>4.7</v>
      </c>
      <c r="I10">
        <f>ABS((C10-B10))</f>
        <v>710</v>
      </c>
      <c r="J10" t="str">
        <f>IF(H10&lt;3,"Poor",IF(H10&lt;4,"Average","Excellent"))</f>
        <v>Excellent</v>
      </c>
      <c r="K10" t="str">
        <f>IF(D10&lt;20%,"Low Discount",IF(D10&lt;40%,"Medium Discount","High Discount"))</f>
        <v>Medium Discount</v>
      </c>
    </row>
    <row r="11" spans="1:12" x14ac:dyDescent="0.35">
      <c r="A11" t="s">
        <v>73</v>
      </c>
      <c r="B11" s="4">
        <v>382</v>
      </c>
      <c r="C11" s="4">
        <v>700</v>
      </c>
      <c r="D11" s="1">
        <v>0.45</v>
      </c>
      <c r="E11" s="8">
        <v>0.45</v>
      </c>
      <c r="F11">
        <v>-17</v>
      </c>
      <c r="G11">
        <f>F11*$L$2</f>
        <v>17</v>
      </c>
      <c r="H11">
        <v>2.6</v>
      </c>
      <c r="I11">
        <f>ABS((C11-B11))</f>
        <v>318</v>
      </c>
      <c r="J11" t="str">
        <f>IF(H11&lt;3,"Poor",IF(H11&lt;4,"Average","Excellent"))</f>
        <v>Poor</v>
      </c>
      <c r="K11" t="str">
        <f>IF(D11&lt;20%,"Low Discount",IF(D11&lt;40%,"Medium Discount","High Discount"))</f>
        <v>High Discount</v>
      </c>
    </row>
  </sheetData>
  <sortState xmlns:xlrd2="http://schemas.microsoft.com/office/spreadsheetml/2017/richdata2" ref="A2:K11">
    <sortCondition descending="1" ref="G2:G11"/>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6780-BBA2-4C4E-B7E9-835204063EC7}">
  <dimension ref="A1:K21"/>
  <sheetViews>
    <sheetView topLeftCell="A9" workbookViewId="0">
      <selection sqref="A1:K11"/>
    </sheetView>
  </sheetViews>
  <sheetFormatPr defaultRowHeight="14.5" x14ac:dyDescent="0.35"/>
  <cols>
    <col min="1" max="1" width="71.26953125" style="14" customWidth="1"/>
    <col min="2" max="2" width="18.54296875" style="14" bestFit="1" customWidth="1"/>
    <col min="3" max="3" width="18.54296875" style="15" bestFit="1" customWidth="1"/>
    <col min="4" max="5" width="14" style="14" customWidth="1"/>
    <col min="6" max="6" width="9.54296875" style="14" bestFit="1" customWidth="1"/>
    <col min="7" max="7" width="9.54296875" style="14" customWidth="1"/>
    <col min="8" max="8" width="10.26953125" style="14" bestFit="1" customWidth="1"/>
    <col min="9" max="9" width="23.26953125" style="14" bestFit="1" customWidth="1"/>
    <col min="10" max="10" width="15.54296875" style="14" bestFit="1" customWidth="1"/>
    <col min="11" max="11" width="20.81640625" style="14" customWidth="1"/>
    <col min="12" max="12" width="13.54296875" style="14" customWidth="1"/>
    <col min="13" max="16384" width="8.7265625" style="14"/>
  </cols>
  <sheetData>
    <row r="1" spans="1:11" s="13" customFormat="1" x14ac:dyDescent="0.35">
      <c r="A1" s="13" t="s">
        <v>0</v>
      </c>
      <c r="B1" s="13" t="s">
        <v>1</v>
      </c>
      <c r="C1" s="12" t="s">
        <v>2</v>
      </c>
      <c r="D1" s="13" t="s">
        <v>3</v>
      </c>
      <c r="E1" s="13" t="s">
        <v>123</v>
      </c>
      <c r="F1" s="13" t="s">
        <v>4</v>
      </c>
      <c r="G1" s="13" t="s">
        <v>4</v>
      </c>
      <c r="H1" s="13" t="s">
        <v>5</v>
      </c>
      <c r="I1" s="13" t="s">
        <v>115</v>
      </c>
      <c r="J1" s="13" t="s">
        <v>116</v>
      </c>
      <c r="K1" s="13" t="s">
        <v>117</v>
      </c>
    </row>
    <row r="2" spans="1:11" x14ac:dyDescent="0.35">
      <c r="A2" s="14" t="s">
        <v>41</v>
      </c>
      <c r="B2" s="15">
        <v>1620</v>
      </c>
      <c r="C2" s="15">
        <v>2690</v>
      </c>
      <c r="D2" s="16">
        <v>0.4</v>
      </c>
      <c r="E2" s="17">
        <v>0.4</v>
      </c>
      <c r="F2" s="14">
        <v>-1</v>
      </c>
      <c r="G2" s="14">
        <v>1</v>
      </c>
      <c r="H2" s="14">
        <v>5</v>
      </c>
      <c r="I2" s="14">
        <v>1070</v>
      </c>
      <c r="J2" s="14" t="s">
        <v>121</v>
      </c>
      <c r="K2" s="14" t="s">
        <v>126</v>
      </c>
    </row>
    <row r="3" spans="1:11" x14ac:dyDescent="0.35">
      <c r="A3" s="14" t="s">
        <v>84</v>
      </c>
      <c r="B3" s="15">
        <v>979</v>
      </c>
      <c r="C3" s="15">
        <v>1920</v>
      </c>
      <c r="D3" s="16">
        <v>0.49</v>
      </c>
      <c r="E3" s="17">
        <v>0.49</v>
      </c>
      <c r="F3" s="14">
        <v>-1</v>
      </c>
      <c r="G3" s="14">
        <v>1</v>
      </c>
      <c r="H3" s="14">
        <v>5</v>
      </c>
      <c r="I3" s="14">
        <v>941</v>
      </c>
      <c r="J3" s="14" t="s">
        <v>121</v>
      </c>
      <c r="K3" s="14" t="s">
        <v>126</v>
      </c>
    </row>
    <row r="4" spans="1:11" x14ac:dyDescent="0.35">
      <c r="A4" s="14" t="s">
        <v>104</v>
      </c>
      <c r="B4" s="15">
        <v>3640</v>
      </c>
      <c r="C4" s="15">
        <v>4588</v>
      </c>
      <c r="D4" s="16">
        <v>0.21</v>
      </c>
      <c r="E4" s="17">
        <v>0.21</v>
      </c>
      <c r="F4" s="14">
        <v>-1</v>
      </c>
      <c r="G4" s="14">
        <v>1</v>
      </c>
      <c r="H4" s="14">
        <v>5</v>
      </c>
      <c r="I4" s="14">
        <v>948</v>
      </c>
      <c r="J4" s="14" t="s">
        <v>121</v>
      </c>
      <c r="K4" s="14" t="s">
        <v>128</v>
      </c>
    </row>
    <row r="5" spans="1:11" x14ac:dyDescent="0.35">
      <c r="A5" s="14" t="s">
        <v>87</v>
      </c>
      <c r="B5" s="15">
        <v>330</v>
      </c>
      <c r="C5" s="15">
        <v>647</v>
      </c>
      <c r="D5" s="16">
        <v>0.49</v>
      </c>
      <c r="E5" s="17">
        <v>0.49</v>
      </c>
      <c r="F5" s="14">
        <v>-1</v>
      </c>
      <c r="G5" s="14">
        <v>1</v>
      </c>
      <c r="H5" s="14">
        <v>4</v>
      </c>
      <c r="I5" s="14">
        <v>317</v>
      </c>
      <c r="J5" s="14" t="s">
        <v>121</v>
      </c>
      <c r="K5" s="14" t="s">
        <v>126</v>
      </c>
    </row>
    <row r="6" spans="1:11" x14ac:dyDescent="0.35">
      <c r="A6" s="14" t="s">
        <v>83</v>
      </c>
      <c r="B6" s="15">
        <v>1189</v>
      </c>
      <c r="C6" s="15">
        <v>2199</v>
      </c>
      <c r="D6" s="16">
        <v>0.46</v>
      </c>
      <c r="E6" s="17">
        <v>0.46</v>
      </c>
      <c r="F6" s="14">
        <v>-1</v>
      </c>
      <c r="G6" s="14">
        <v>1</v>
      </c>
      <c r="H6" s="14">
        <v>3</v>
      </c>
      <c r="I6" s="14">
        <v>1010</v>
      </c>
      <c r="J6" s="14" t="s">
        <v>118</v>
      </c>
      <c r="K6" s="14" t="s">
        <v>126</v>
      </c>
    </row>
    <row r="7" spans="1:11" x14ac:dyDescent="0.35">
      <c r="A7" s="14" t="s">
        <v>113</v>
      </c>
      <c r="B7" s="15">
        <v>450</v>
      </c>
      <c r="C7" s="15">
        <v>900</v>
      </c>
      <c r="D7" s="16">
        <v>0.5</v>
      </c>
      <c r="E7" s="17">
        <v>0.5</v>
      </c>
      <c r="F7" s="14">
        <v>-1</v>
      </c>
      <c r="G7" s="14">
        <v>1</v>
      </c>
      <c r="H7" s="14">
        <v>2</v>
      </c>
      <c r="I7" s="14">
        <v>450</v>
      </c>
      <c r="J7" s="14" t="s">
        <v>122</v>
      </c>
      <c r="K7" s="14" t="s">
        <v>126</v>
      </c>
    </row>
    <row r="8" spans="1:11" x14ac:dyDescent="0.35">
      <c r="A8" s="14" t="s">
        <v>21</v>
      </c>
      <c r="B8" s="15">
        <v>332</v>
      </c>
      <c r="C8" s="15">
        <v>684</v>
      </c>
      <c r="D8" s="16">
        <v>0.51</v>
      </c>
      <c r="E8" s="17">
        <v>0.51</v>
      </c>
      <c r="F8" s="14">
        <v>-2</v>
      </c>
      <c r="G8" s="14">
        <v>2</v>
      </c>
      <c r="H8" s="14">
        <v>5</v>
      </c>
      <c r="I8" s="14">
        <v>352</v>
      </c>
      <c r="J8" s="14" t="s">
        <v>121</v>
      </c>
      <c r="K8" s="14" t="s">
        <v>126</v>
      </c>
    </row>
    <row r="9" spans="1:11" x14ac:dyDescent="0.35">
      <c r="A9" s="14" t="s">
        <v>22</v>
      </c>
      <c r="B9" s="15">
        <v>195</v>
      </c>
      <c r="C9" s="15">
        <v>360</v>
      </c>
      <c r="D9" s="16">
        <v>0.46</v>
      </c>
      <c r="E9" s="17">
        <v>0.46</v>
      </c>
      <c r="F9" s="14">
        <v>-2</v>
      </c>
      <c r="G9" s="14">
        <v>2</v>
      </c>
      <c r="H9" s="14">
        <v>5</v>
      </c>
      <c r="I9" s="14">
        <v>165</v>
      </c>
      <c r="J9" s="14" t="s">
        <v>121</v>
      </c>
      <c r="K9" s="14" t="s">
        <v>126</v>
      </c>
    </row>
    <row r="10" spans="1:11" x14ac:dyDescent="0.35">
      <c r="A10" s="14" t="s">
        <v>42</v>
      </c>
      <c r="B10" s="15">
        <v>171</v>
      </c>
      <c r="C10" s="15">
        <v>360</v>
      </c>
      <c r="D10" s="16">
        <v>0.53</v>
      </c>
      <c r="E10" s="17">
        <v>0.53</v>
      </c>
      <c r="F10" s="14">
        <v>-2</v>
      </c>
      <c r="G10" s="14">
        <v>2</v>
      </c>
      <c r="H10" s="14">
        <v>5</v>
      </c>
      <c r="I10" s="14">
        <v>189</v>
      </c>
      <c r="J10" s="14" t="s">
        <v>121</v>
      </c>
      <c r="K10" s="14" t="s">
        <v>126</v>
      </c>
    </row>
    <row r="11" spans="1:11" x14ac:dyDescent="0.35">
      <c r="A11" s="14" t="s">
        <v>6</v>
      </c>
      <c r="B11" s="15">
        <v>950</v>
      </c>
      <c r="C11" s="15">
        <v>1525</v>
      </c>
      <c r="D11" s="16">
        <v>0.38</v>
      </c>
      <c r="E11" s="17">
        <v>0.38</v>
      </c>
      <c r="F11" s="14">
        <v>-2</v>
      </c>
      <c r="G11" s="14">
        <v>2</v>
      </c>
      <c r="H11" s="14">
        <v>4.5</v>
      </c>
      <c r="I11" s="14">
        <v>575</v>
      </c>
      <c r="J11" s="14" t="s">
        <v>121</v>
      </c>
      <c r="K11" s="14" t="s">
        <v>128</v>
      </c>
    </row>
    <row r="12" spans="1:11" s="13" customFormat="1" x14ac:dyDescent="0.35">
      <c r="B12" s="18"/>
      <c r="C12" s="18"/>
      <c r="D12" s="19"/>
      <c r="E12" s="19"/>
      <c r="F12" s="18"/>
      <c r="G12" s="14"/>
      <c r="H12" s="18"/>
      <c r="I12" s="18"/>
    </row>
    <row r="13" spans="1:11" s="13" customFormat="1" x14ac:dyDescent="0.35">
      <c r="B13" s="18"/>
      <c r="C13" s="12"/>
      <c r="G13" s="14"/>
    </row>
    <row r="14" spans="1:11" s="13" customFormat="1" x14ac:dyDescent="0.35">
      <c r="B14" s="18"/>
      <c r="C14" s="12"/>
    </row>
    <row r="16" spans="1:11" x14ac:dyDescent="0.35">
      <c r="B16" s="20"/>
    </row>
    <row r="17" spans="2:2" x14ac:dyDescent="0.35">
      <c r="B17" s="20"/>
    </row>
    <row r="18" spans="2:2" x14ac:dyDescent="0.35">
      <c r="B18" s="20"/>
    </row>
    <row r="19" spans="2:2" x14ac:dyDescent="0.35">
      <c r="B19" s="20"/>
    </row>
    <row r="21" spans="2:2" x14ac:dyDescent="0.35">
      <c r="B21" s="15"/>
    </row>
  </sheetData>
  <sortState xmlns:xlrd2="http://schemas.microsoft.com/office/spreadsheetml/2017/richdata2" ref="A2:K11">
    <sortCondition ref="G2:G11"/>
  </sortState>
  <pageMargins left="0.7" right="0.7" top="0.75" bottom="0.75" header="0.3" footer="0.3"/>
  <drawing r:id="rId1"/>
</worksheet>
</file>

<file path=docMetadata/LabelInfo.xml><?xml version="1.0" encoding="utf-8"?>
<clbl:labelList xmlns:clbl="http://schemas.microsoft.com/office/2020/mipLabelMetadata">
  <clbl:label id="{0067311d-9052-48b6-9c57-4f74035921de}" enabled="1" method="Privileged" siteId="{98fd8132-b015-4e55-8d37-09bc8122e2a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Pivot</vt:lpstr>
      <vt:lpstr>Excel_jumia_dataset</vt:lpstr>
      <vt:lpstr>Bottom_5_Ratings</vt:lpstr>
      <vt:lpstr>Data_Missing_Values</vt:lpstr>
      <vt:lpstr>Top_5_Ratings</vt:lpstr>
      <vt:lpstr>Top_10_Disc_Rating</vt:lpstr>
      <vt:lpstr>Top_10_Reviews</vt:lpstr>
      <vt:lpstr>Bottom_10_Reviews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Samuel Mwaura</cp:lastModifiedBy>
  <dcterms:created xsi:type="dcterms:W3CDTF">2026-06-08T17:00:50Z</dcterms:created>
  <dcterms:modified xsi:type="dcterms:W3CDTF">2026-06-12T14:13:17Z</dcterms:modified>
</cp:coreProperties>
</file>